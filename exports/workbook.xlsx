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sheetId="1" state="visible" r:id="rId1"/>
    <sheet name="Read me" sheetId="2" state="visible" r:id="rId2"/>
    <sheet name="Metros" sheetId="3" state="visible" r:id="rId3"/>
    <sheet name="Checks" sheetId="4" state="visible" r:id="rId4"/>
    <sheet name="Ch1 payment share by year" sheetId="5" state="visible" r:id="rId5"/>
    <sheet name="Ch1 anchor sensitivity" sheetId="6" state="visible" r:id="rId6"/>
    <sheet name="Ch1 line interior test" sheetId="7" state="visible" r:id="rId7"/>
    <sheet name="Ch2 rate shock by quarter" sheetId="8" state="visible" r:id="rId8"/>
    <sheet name="Ch2 lock in thresholds" sheetId="9" state="visible" r:id="rId9"/>
    <sheet name="Ch3 burden bands" sheetId="10" state="visible" r:id="rId10"/>
    <sheet name="Ch3 burden by income" sheetId="11" state="visible" r:id="rId11"/>
    <sheet name="Ch3 line interior test" sheetId="12" state="visible" r:id="rId12"/>
    <sheet name="Ch4 supply specifications" sheetId="13" state="visible" r:id="rId13"/>
    <sheet name="Ch4 window interior test" sheetId="14" state="visible" r:id="rId14"/>
    <sheet name="Ch5 fair ranking" sheetId="15" state="visible" r:id="rId15"/>
    <sheet name="Ch6 borrowers by year" sheetId="16" state="visible" r:id="rId16"/>
    <sheet name="Ch6 borrowers by metro" sheetId="17" state="visible" r:id="rId17"/>
    <sheet name="Ch7 migration regression" sheetId="18" state="visible" r:id="rId18"/>
    <sheet name="Ch7 synthetic controls" sheetId="19" state="visible" r:id="rId19"/>
    <sheet name="Ch8 reader decision" sheetId="20" state="visible" r:id="rId20"/>
    <sheet name="Ch8 line interior test" sheetId="21" state="visible" r:id="rId21"/>
    <sheet name="Ch8 down payment interior" sheetId="22" state="visible" r:id="rId22"/>
    <sheet name="Ch8 saving rate interior" sheetId="23" state="visible" r:id="rId23"/>
    <sheet name="Recovery by estimator" sheetId="24" state="visible" r:id="rId24"/>
    <sheet name="Recovery by condition" sheetId="25" state="visible" r:id="rId25"/>
    <sheet name="Metric definitions" sheetId="26" state="visible" r:id="rId26"/>
  </sheets>
  <definedNames>
    <definedName name="MetroNames">Metros!$B$4:$B$385</definedName>
    <definedName name="MetroTable">Metros!$A$4:$I$385</definedName>
    <definedName name="Income">Model!$B$4</definedName>
    <definedName name="Rate">Model!$B$5</definedName>
    <definedName name="DownShare">Model!$B$6</definedName>
    <definedName name="TaxRate">Model!$B$7</definedName>
    <definedName name="InsuranceRate">Model!$B$8</definedName>
    <definedName name="TermYears">Model!$B$9</definedName>
    <definedName name="AffordableLine">Model!$B$10</definedName>
    <definedName name="MetroPick">Model!$B$3</definedName>
    <definedName name="MedianHome">Model!$E$3</definedName>
    <definedName name="Payment">Model!$E$9</definedName>
    <definedName name="PaymentShare">Model!$E$10</definedName>
    <definedName name="AffordablePrice">Model!$E$11</definedName>
  </definedNames>
  <calcPr calcId="124519" fullCalcOnLoad="1"/>
</workbook>
</file>

<file path=xl/styles.xml><?xml version="1.0" encoding="utf-8"?>
<styleSheet xmlns="http://schemas.openxmlformats.org/spreadsheetml/2006/main">
  <numFmts count="12">
    <numFmt numFmtId="164" formatCode="$#,##0"/>
    <numFmt numFmtId="165" formatCode="0.0%"/>
    <numFmt numFmtId="166" formatCode="$#,##0.00"/>
    <numFmt numFmtId="167" formatCode="+0.0%;-0.0%;0.0%"/>
    <numFmt numFmtId="168" formatCode="+$#,##0;-$#,##0;$0"/>
    <numFmt numFmtId="169" formatCode="+0.000;-0.000;0.000"/>
    <numFmt numFmtId="170" formatCode="+0.0000;-0.0000;0.0000"/>
    <numFmt numFmtId="171" formatCode="+0.00;-0.00;0.00"/>
    <numFmt numFmtId="172" formatCode="+0.00%;-0.00%;0.00%"/>
    <numFmt numFmtId="173" formatCode="0.000"/>
    <numFmt numFmtId="174" formatCode="0.0"/>
    <numFmt numFmtId="175" formatCode="0.0000"/>
  </numFmts>
  <fonts count="3">
    <font>
      <name val="Calibri"/>
      <family val="2"/>
      <color theme="1"/>
      <sz val="11"/>
      <scheme val="minor"/>
    </font>
    <font>
      <b val="1"/>
      <sz val="13"/>
    </font>
    <font>
      <b val="1"/>
    </font>
  </fonts>
  <fills count="4">
    <fill>
      <patternFill/>
    </fill>
    <fill>
      <patternFill patternType="gray125"/>
    </fill>
    <fill>
      <patternFill patternType="solid">
        <fgColor rgb="00E8ECE9"/>
      </patternFill>
    </fill>
    <fill>
      <patternFill patternType="solid">
        <fgColor rgb="00FFF4DE"/>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0" fillId="3" borderId="0" pivotButton="0" quotePrefix="0" xfId="0"/>
    <xf numFmtId="164" fontId="0" fillId="0" borderId="0" pivotButton="0" quotePrefix="0" xfId="0"/>
    <xf numFmtId="164" fontId="0" fillId="3" borderId="0" pivotButton="0" quotePrefix="0" xfId="0"/>
    <xf numFmtId="2" fontId="0" fillId="3" borderId="0" pivotButton="0" quotePrefix="0" xfId="0"/>
    <xf numFmtId="165" fontId="0" fillId="3" borderId="0" pivotButton="0" quotePrefix="0" xfId="0"/>
    <xf numFmtId="165" fontId="0" fillId="0" borderId="0" pivotButton="0" quotePrefix="0" xfId="0"/>
    <xf numFmtId="0" fontId="2" fillId="2" borderId="0" applyAlignment="1" pivotButton="0" quotePrefix="0" xfId="0">
      <alignment vertical="top" wrapText="1"/>
    </xf>
    <xf numFmtId="166" fontId="0" fillId="0" borderId="0" pivotButton="0" quotePrefix="0" xfId="0"/>
    <xf numFmtId="0" fontId="0" fillId="0" borderId="0" applyAlignment="1" pivotButton="0" quotePrefix="0" xfId="0">
      <alignment vertical="top" wrapText="1"/>
    </xf>
    <xf numFmtId="3" fontId="0" fillId="0" borderId="0" pivotButton="0" quotePrefix="0" xfId="0"/>
    <xf numFmtId="2" fontId="0" fillId="0" borderId="0" pivotButton="0" quotePrefix="0" xfId="0"/>
    <xf numFmtId="167" fontId="0" fillId="0" borderId="0" pivotButton="0" quotePrefix="0" xfId="0"/>
    <xf numFmtId="49"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170" fontId="0" fillId="0" borderId="0" pivotButton="0" quotePrefix="0" xfId="0"/>
    <xf numFmtId="171" fontId="0" fillId="0" borderId="0" pivotButton="0" quotePrefix="0" xfId="0"/>
    <xf numFmtId="172" fontId="0" fillId="0" borderId="0" pivotButton="0" quotePrefix="0" xfId="0"/>
    <xf numFmtId="173" fontId="0" fillId="0" borderId="0" pivotButton="0" quotePrefix="0" xfId="0"/>
    <xf numFmtId="174" fontId="0" fillId="0" borderId="0" pivotButton="0" quotePrefix="0" xfId="0"/>
    <xf numFmtId="17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0"/>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44" customWidth="1" min="4" max="4"/>
    <col width="18" customWidth="1" min="5" max="5"/>
    <col width="30" customWidth="1" min="7" max="7"/>
  </cols>
  <sheetData>
    <row r="1">
      <c r="A1" s="1" t="inlineStr">
        <is>
          <t>The affordability model: pick a metro, type an income, a rate, a down payment share, a tax rate and an insurance rate. Yellow cells are inputs; everything else is a formula.</t>
        </is>
      </c>
    </row>
    <row r="3">
      <c r="A3" s="2" t="inlineStr">
        <is>
          <t>Metro</t>
        </is>
      </c>
      <c r="B3" s="3" t="inlineStr">
        <is>
          <t>New York-Newark-Jersey City, NY-NJ</t>
        </is>
      </c>
      <c r="D3" s="2" t="inlineStr">
        <is>
          <t>Median home (latest quarter)</t>
        </is>
      </c>
      <c r="E3" s="4">
        <f>INDEX(Metros!$D$4:$D$5000,MATCH(MetroPick,MetroNames,0))</f>
        <v/>
      </c>
    </row>
    <row r="4">
      <c r="A4" s="2" t="inlineStr">
        <is>
          <t>Annual household income</t>
        </is>
      </c>
      <c r="B4" s="5" t="n">
        <v>85000</v>
      </c>
      <c r="D4" s="2" t="inlineStr">
        <is>
          <t>Metro median income</t>
        </is>
      </c>
      <c r="E4" s="4">
        <f>INDEX(Metros!$E$4:$E$5000,MATCH(MetroPick,MetroNames,0))</f>
        <v/>
      </c>
    </row>
    <row r="5">
      <c r="A5" s="2" t="inlineStr">
        <is>
          <t>Mortgage rate (percent)</t>
        </is>
      </c>
      <c r="B5" s="6" t="n">
        <v>7.32</v>
      </c>
      <c r="D5" s="2" t="inlineStr">
        <is>
          <t>Metro median rent (monthly)</t>
        </is>
      </c>
      <c r="E5" s="4">
        <f>INDEX(Metros!$F$4:$F$5000,MATCH(MetroPick,MetroNames,0))</f>
        <v/>
      </c>
    </row>
    <row r="6">
      <c r="A6" s="2" t="inlineStr">
        <is>
          <t>Down payment share</t>
        </is>
      </c>
      <c r="B6" s="7" t="n">
        <v>0.1</v>
      </c>
      <c r="D6" s="2" t="inlineStr">
        <is>
          <t>Latest quarter</t>
        </is>
      </c>
      <c r="E6">
        <f>INDEX(Metros!$G$4:$G$5000,MATCH(MetroPick,MetroNames,0))</f>
        <v/>
      </c>
    </row>
    <row r="7">
      <c r="A7" s="2" t="inlineStr">
        <is>
          <t>Property tax rate (share of value per year)</t>
        </is>
      </c>
      <c r="B7" s="7" t="n">
        <v>0.011</v>
      </c>
      <c r="D7" s="2" t="n"/>
    </row>
    <row r="8">
      <c r="A8" s="2" t="inlineStr">
        <is>
          <t>Insurance rate (share of value per year)</t>
        </is>
      </c>
      <c r="B8" s="7" t="n">
        <v>0.004</v>
      </c>
      <c r="D8" s="2" t="inlineStr">
        <is>
          <t>Loan amount</t>
        </is>
      </c>
      <c r="E8" s="4">
        <f>E3*(1-DownShare)</f>
        <v/>
      </c>
    </row>
    <row r="9">
      <c r="A9" s="2" t="inlineStr">
        <is>
          <t>Loan term (years)</t>
        </is>
      </c>
      <c r="B9" s="3" t="n">
        <v>30</v>
      </c>
      <c r="D9" s="2" t="inlineStr">
        <is>
          <t>Monthly payment (principal and interest)</t>
        </is>
      </c>
      <c r="E9" s="4">
        <f>-PMT(Rate/100/12,TermYears*12,E8)</f>
        <v/>
      </c>
    </row>
    <row r="10">
      <c r="A10" s="2" t="inlineStr">
        <is>
          <t>Affordable line (share of income)</t>
        </is>
      </c>
      <c r="B10" s="7" t="n">
        <v>0.3</v>
      </c>
      <c r="D10" s="2" t="inlineStr">
        <is>
          <t>Payment share of income</t>
        </is>
      </c>
      <c r="E10" s="8">
        <f>12*E9/Income</f>
        <v/>
      </c>
    </row>
    <row r="11">
      <c r="D11" s="2" t="inlineStr">
        <is>
          <t>Affordable price at the line</t>
        </is>
      </c>
      <c r="E11" s="4">
        <f>-PV(Rate/100/12,TermYears*12,AffordableLine*Income/12)/(1-DownShare)</f>
        <v/>
      </c>
    </row>
    <row r="12">
      <c r="D12" s="2" t="inlineStr">
        <is>
          <t>Monthly cost with taxes and insurance</t>
        </is>
      </c>
      <c r="E12" s="4">
        <f>E9+E3*(TaxRate+InsuranceRate)/12</f>
        <v/>
      </c>
    </row>
    <row r="13">
      <c r="D13" s="2" t="inlineStr">
        <is>
          <t>Full cost share of income</t>
        </is>
      </c>
      <c r="E13" s="8">
        <f>12*E12/Income</f>
        <v/>
      </c>
    </row>
    <row r="14">
      <c r="D14" s="2" t="inlineStr">
        <is>
          <t>Income needed for the median home at the line</t>
        </is>
      </c>
      <c r="E14" s="4">
        <f>12*E9/AffordableLine</f>
        <v/>
      </c>
    </row>
    <row r="15">
      <c r="D15" s="2" t="inlineStr">
        <is>
          <t>Rent share of income at the metro median rent</t>
        </is>
      </c>
      <c r="E15" s="8">
        <f>12*E5/Income</f>
        <v/>
      </c>
    </row>
    <row r="16">
      <c r="D16" s="2" t="inlineStr">
        <is>
          <t>Can the income carry the median home at the line</t>
        </is>
      </c>
      <c r="E16">
        <f>IF(E11&gt;=E3,"yes","no")</f>
        <v/>
      </c>
    </row>
    <row r="19">
      <c r="A19" s="2" t="inlineStr">
        <is>
          <t>Amortisation</t>
        </is>
      </c>
    </row>
    <row r="20">
      <c r="A20" s="9" t="inlineStr">
        <is>
          <t>Month</t>
        </is>
      </c>
      <c r="B20" s="9" t="inlineStr">
        <is>
          <t>Payment</t>
        </is>
      </c>
      <c r="C20" s="9" t="inlineStr">
        <is>
          <t>Interest</t>
        </is>
      </c>
      <c r="D20" s="9" t="inlineStr">
        <is>
          <t>Principal</t>
        </is>
      </c>
      <c r="E20" s="9" t="inlineStr">
        <is>
          <t>Balance</t>
        </is>
      </c>
      <c r="G20" t="inlineStr">
        <is>
          <t>Total interest over the term</t>
        </is>
      </c>
      <c r="H20" s="4">
        <f>SUM(C21:C380)</f>
        <v/>
      </c>
    </row>
    <row r="21">
      <c r="A21" t="n">
        <v>1</v>
      </c>
      <c r="B21" s="10">
        <f>Payment</f>
        <v/>
      </c>
      <c r="C21" s="10">
        <f>E8*Rate/100/12</f>
        <v/>
      </c>
      <c r="D21" s="10">
        <f>B21-C21</f>
        <v/>
      </c>
      <c r="E21" s="10">
        <f>E8-D21</f>
        <v/>
      </c>
      <c r="G21" t="inlineStr">
        <is>
          <t>Total paid</t>
        </is>
      </c>
      <c r="H21" s="4">
        <f>SUM(B21:B380)</f>
        <v/>
      </c>
    </row>
    <row r="22">
      <c r="A22">
        <f>A21+1</f>
        <v/>
      </c>
      <c r="B22" s="10">
        <f>IF(A22&lt;=TermYears*12,Payment,0)</f>
        <v/>
      </c>
      <c r="C22" s="10">
        <f>E21*Rate/100/12</f>
        <v/>
      </c>
      <c r="D22" s="10">
        <f>B22-C22</f>
        <v/>
      </c>
      <c r="E22" s="10">
        <f>MAX(E21-D22,0)</f>
        <v/>
      </c>
    </row>
    <row r="23">
      <c r="A23">
        <f>A22+1</f>
        <v/>
      </c>
      <c r="B23" s="10">
        <f>IF(A23&lt;=TermYears*12,Payment,0)</f>
        <v/>
      </c>
      <c r="C23" s="10">
        <f>E22*Rate/100/12</f>
        <v/>
      </c>
      <c r="D23" s="10">
        <f>B23-C23</f>
        <v/>
      </c>
      <c r="E23" s="10">
        <f>MAX(E22-D23,0)</f>
        <v/>
      </c>
      <c r="G23" t="inlineStr">
        <is>
          <t>Public data from the Federal Housing Finance Agency, the Census Bureau (American Community Survey, Building Permits Survey, Population Estimates), the Department of Housing and Urban Development and the Consumer Financial Protection Bureau (HMDA), with mortgage rates from Freddie Mac under its terms of use. Metros are real and appear as they do in the public record; no household, borrower or address appears. The findings are a portfolio analysis, not financial advice, not a market forecast and not a fair lending finding.</t>
        </is>
      </c>
    </row>
    <row r="24">
      <c r="A24">
        <f>A23+1</f>
        <v/>
      </c>
      <c r="B24" s="10">
        <f>IF(A24&lt;=TermYears*12,Payment,0)</f>
        <v/>
      </c>
      <c r="C24" s="10">
        <f>E23*Rate/100/12</f>
        <v/>
      </c>
      <c r="D24" s="10">
        <f>B24-C24</f>
        <v/>
      </c>
      <c r="E24" s="10">
        <f>MAX(E23-D24,0)</f>
        <v/>
      </c>
      <c r="G24" t="inlineStr">
        <is>
          <t>Mortgage rates: Freddie Mac Primary Mortgage Market Survey, used under its terms of use.</t>
        </is>
      </c>
    </row>
    <row r="25">
      <c r="A25">
        <f>A24+1</f>
        <v/>
      </c>
      <c r="B25" s="10">
        <f>IF(A25&lt;=TermYears*12,Payment,0)</f>
        <v/>
      </c>
      <c r="C25" s="10">
        <f>E24*Rate/100/12</f>
        <v/>
      </c>
      <c r="D25" s="10">
        <f>B25-C25</f>
        <v/>
      </c>
      <c r="E25" s="10">
        <f>MAX(E24-D25,0)</f>
        <v/>
      </c>
    </row>
    <row r="26">
      <c r="A26">
        <f>A25+1</f>
        <v/>
      </c>
      <c r="B26" s="10">
        <f>IF(A26&lt;=TermYears*12,Payment,0)</f>
        <v/>
      </c>
      <c r="C26" s="10">
        <f>E25*Rate/100/12</f>
        <v/>
      </c>
      <c r="D26" s="10">
        <f>B26-C26</f>
        <v/>
      </c>
      <c r="E26" s="10">
        <f>MAX(E25-D26,0)</f>
        <v/>
      </c>
    </row>
    <row r="27">
      <c r="A27">
        <f>A26+1</f>
        <v/>
      </c>
      <c r="B27" s="10">
        <f>IF(A27&lt;=TermYears*12,Payment,0)</f>
        <v/>
      </c>
      <c r="C27" s="10">
        <f>E26*Rate/100/12</f>
        <v/>
      </c>
      <c r="D27" s="10">
        <f>B27-C27</f>
        <v/>
      </c>
      <c r="E27" s="10">
        <f>MAX(E26-D27,0)</f>
        <v/>
      </c>
    </row>
    <row r="28">
      <c r="A28">
        <f>A27+1</f>
        <v/>
      </c>
      <c r="B28" s="10">
        <f>IF(A28&lt;=TermYears*12,Payment,0)</f>
        <v/>
      </c>
      <c r="C28" s="10">
        <f>E27*Rate/100/12</f>
        <v/>
      </c>
      <c r="D28" s="10">
        <f>B28-C28</f>
        <v/>
      </c>
      <c r="E28" s="10">
        <f>MAX(E27-D28,0)</f>
        <v/>
      </c>
    </row>
    <row r="29">
      <c r="A29">
        <f>A28+1</f>
        <v/>
      </c>
      <c r="B29" s="10">
        <f>IF(A29&lt;=TermYears*12,Payment,0)</f>
        <v/>
      </c>
      <c r="C29" s="10">
        <f>E28*Rate/100/12</f>
        <v/>
      </c>
      <c r="D29" s="10">
        <f>B29-C29</f>
        <v/>
      </c>
      <c r="E29" s="10">
        <f>MAX(E28-D29,0)</f>
        <v/>
      </c>
    </row>
    <row r="30">
      <c r="A30">
        <f>A29+1</f>
        <v/>
      </c>
      <c r="B30" s="10">
        <f>IF(A30&lt;=TermYears*12,Payment,0)</f>
        <v/>
      </c>
      <c r="C30" s="10">
        <f>E29*Rate/100/12</f>
        <v/>
      </c>
      <c r="D30" s="10">
        <f>B30-C30</f>
        <v/>
      </c>
      <c r="E30" s="10">
        <f>MAX(E29-D30,0)</f>
        <v/>
      </c>
    </row>
    <row r="31">
      <c r="A31">
        <f>A30+1</f>
        <v/>
      </c>
      <c r="B31" s="10">
        <f>IF(A31&lt;=TermYears*12,Payment,0)</f>
        <v/>
      </c>
      <c r="C31" s="10">
        <f>E30*Rate/100/12</f>
        <v/>
      </c>
      <c r="D31" s="10">
        <f>B31-C31</f>
        <v/>
      </c>
      <c r="E31" s="10">
        <f>MAX(E30-D31,0)</f>
        <v/>
      </c>
    </row>
    <row r="32">
      <c r="A32">
        <f>A31+1</f>
        <v/>
      </c>
      <c r="B32" s="10">
        <f>IF(A32&lt;=TermYears*12,Payment,0)</f>
        <v/>
      </c>
      <c r="C32" s="10">
        <f>E31*Rate/100/12</f>
        <v/>
      </c>
      <c r="D32" s="10">
        <f>B32-C32</f>
        <v/>
      </c>
      <c r="E32" s="10">
        <f>MAX(E31-D32,0)</f>
        <v/>
      </c>
    </row>
    <row r="33">
      <c r="A33">
        <f>A32+1</f>
        <v/>
      </c>
      <c r="B33" s="10">
        <f>IF(A33&lt;=TermYears*12,Payment,0)</f>
        <v/>
      </c>
      <c r="C33" s="10">
        <f>E32*Rate/100/12</f>
        <v/>
      </c>
      <c r="D33" s="10">
        <f>B33-C33</f>
        <v/>
      </c>
      <c r="E33" s="10">
        <f>MAX(E32-D33,0)</f>
        <v/>
      </c>
    </row>
    <row r="34">
      <c r="A34">
        <f>A33+1</f>
        <v/>
      </c>
      <c r="B34" s="10">
        <f>IF(A34&lt;=TermYears*12,Payment,0)</f>
        <v/>
      </c>
      <c r="C34" s="10">
        <f>E33*Rate/100/12</f>
        <v/>
      </c>
      <c r="D34" s="10">
        <f>B34-C34</f>
        <v/>
      </c>
      <c r="E34" s="10">
        <f>MAX(E33-D34,0)</f>
        <v/>
      </c>
    </row>
    <row r="35">
      <c r="A35">
        <f>A34+1</f>
        <v/>
      </c>
      <c r="B35" s="10">
        <f>IF(A35&lt;=TermYears*12,Payment,0)</f>
        <v/>
      </c>
      <c r="C35" s="10">
        <f>E34*Rate/100/12</f>
        <v/>
      </c>
      <c r="D35" s="10">
        <f>B35-C35</f>
        <v/>
      </c>
      <c r="E35" s="10">
        <f>MAX(E34-D35,0)</f>
        <v/>
      </c>
    </row>
    <row r="36">
      <c r="A36">
        <f>A35+1</f>
        <v/>
      </c>
      <c r="B36" s="10">
        <f>IF(A36&lt;=TermYears*12,Payment,0)</f>
        <v/>
      </c>
      <c r="C36" s="10">
        <f>E35*Rate/100/12</f>
        <v/>
      </c>
      <c r="D36" s="10">
        <f>B36-C36</f>
        <v/>
      </c>
      <c r="E36" s="10">
        <f>MAX(E35-D36,0)</f>
        <v/>
      </c>
    </row>
    <row r="37">
      <c r="A37">
        <f>A36+1</f>
        <v/>
      </c>
      <c r="B37" s="10">
        <f>IF(A37&lt;=TermYears*12,Payment,0)</f>
        <v/>
      </c>
      <c r="C37" s="10">
        <f>E36*Rate/100/12</f>
        <v/>
      </c>
      <c r="D37" s="10">
        <f>B37-C37</f>
        <v/>
      </c>
      <c r="E37" s="10">
        <f>MAX(E36-D37,0)</f>
        <v/>
      </c>
    </row>
    <row r="38">
      <c r="A38">
        <f>A37+1</f>
        <v/>
      </c>
      <c r="B38" s="10">
        <f>IF(A38&lt;=TermYears*12,Payment,0)</f>
        <v/>
      </c>
      <c r="C38" s="10">
        <f>E37*Rate/100/12</f>
        <v/>
      </c>
      <c r="D38" s="10">
        <f>B38-C38</f>
        <v/>
      </c>
      <c r="E38" s="10">
        <f>MAX(E37-D38,0)</f>
        <v/>
      </c>
    </row>
    <row r="39">
      <c r="A39">
        <f>A38+1</f>
        <v/>
      </c>
      <c r="B39" s="10">
        <f>IF(A39&lt;=TermYears*12,Payment,0)</f>
        <v/>
      </c>
      <c r="C39" s="10">
        <f>E38*Rate/100/12</f>
        <v/>
      </c>
      <c r="D39" s="10">
        <f>B39-C39</f>
        <v/>
      </c>
      <c r="E39" s="10">
        <f>MAX(E38-D39,0)</f>
        <v/>
      </c>
    </row>
    <row r="40">
      <c r="A40">
        <f>A39+1</f>
        <v/>
      </c>
      <c r="B40" s="10">
        <f>IF(A40&lt;=TermYears*12,Payment,0)</f>
        <v/>
      </c>
      <c r="C40" s="10">
        <f>E39*Rate/100/12</f>
        <v/>
      </c>
      <c r="D40" s="10">
        <f>B40-C40</f>
        <v/>
      </c>
      <c r="E40" s="10">
        <f>MAX(E39-D40,0)</f>
        <v/>
      </c>
    </row>
    <row r="41">
      <c r="A41">
        <f>A40+1</f>
        <v/>
      </c>
      <c r="B41" s="10">
        <f>IF(A41&lt;=TermYears*12,Payment,0)</f>
        <v/>
      </c>
      <c r="C41" s="10">
        <f>E40*Rate/100/12</f>
        <v/>
      </c>
      <c r="D41" s="10">
        <f>B41-C41</f>
        <v/>
      </c>
      <c r="E41" s="10">
        <f>MAX(E40-D41,0)</f>
        <v/>
      </c>
    </row>
    <row r="42">
      <c r="A42">
        <f>A41+1</f>
        <v/>
      </c>
      <c r="B42" s="10">
        <f>IF(A42&lt;=TermYears*12,Payment,0)</f>
        <v/>
      </c>
      <c r="C42" s="10">
        <f>E41*Rate/100/12</f>
        <v/>
      </c>
      <c r="D42" s="10">
        <f>B42-C42</f>
        <v/>
      </c>
      <c r="E42" s="10">
        <f>MAX(E41-D42,0)</f>
        <v/>
      </c>
    </row>
    <row r="43">
      <c r="A43">
        <f>A42+1</f>
        <v/>
      </c>
      <c r="B43" s="10">
        <f>IF(A43&lt;=TermYears*12,Payment,0)</f>
        <v/>
      </c>
      <c r="C43" s="10">
        <f>E42*Rate/100/12</f>
        <v/>
      </c>
      <c r="D43" s="10">
        <f>B43-C43</f>
        <v/>
      </c>
      <c r="E43" s="10">
        <f>MAX(E42-D43,0)</f>
        <v/>
      </c>
    </row>
    <row r="44">
      <c r="A44">
        <f>A43+1</f>
        <v/>
      </c>
      <c r="B44" s="10">
        <f>IF(A44&lt;=TermYears*12,Payment,0)</f>
        <v/>
      </c>
      <c r="C44" s="10">
        <f>E43*Rate/100/12</f>
        <v/>
      </c>
      <c r="D44" s="10">
        <f>B44-C44</f>
        <v/>
      </c>
      <c r="E44" s="10">
        <f>MAX(E43-D44,0)</f>
        <v/>
      </c>
    </row>
    <row r="45">
      <c r="A45">
        <f>A44+1</f>
        <v/>
      </c>
      <c r="B45" s="10">
        <f>IF(A45&lt;=TermYears*12,Payment,0)</f>
        <v/>
      </c>
      <c r="C45" s="10">
        <f>E44*Rate/100/12</f>
        <v/>
      </c>
      <c r="D45" s="10">
        <f>B45-C45</f>
        <v/>
      </c>
      <c r="E45" s="10">
        <f>MAX(E44-D45,0)</f>
        <v/>
      </c>
    </row>
    <row r="46">
      <c r="A46">
        <f>A45+1</f>
        <v/>
      </c>
      <c r="B46" s="10">
        <f>IF(A46&lt;=TermYears*12,Payment,0)</f>
        <v/>
      </c>
      <c r="C46" s="10">
        <f>E45*Rate/100/12</f>
        <v/>
      </c>
      <c r="D46" s="10">
        <f>B46-C46</f>
        <v/>
      </c>
      <c r="E46" s="10">
        <f>MAX(E45-D46,0)</f>
        <v/>
      </c>
    </row>
    <row r="47">
      <c r="A47">
        <f>A46+1</f>
        <v/>
      </c>
      <c r="B47" s="10">
        <f>IF(A47&lt;=TermYears*12,Payment,0)</f>
        <v/>
      </c>
      <c r="C47" s="10">
        <f>E46*Rate/100/12</f>
        <v/>
      </c>
      <c r="D47" s="10">
        <f>B47-C47</f>
        <v/>
      </c>
      <c r="E47" s="10">
        <f>MAX(E46-D47,0)</f>
        <v/>
      </c>
    </row>
    <row r="48">
      <c r="A48">
        <f>A47+1</f>
        <v/>
      </c>
      <c r="B48" s="10">
        <f>IF(A48&lt;=TermYears*12,Payment,0)</f>
        <v/>
      </c>
      <c r="C48" s="10">
        <f>E47*Rate/100/12</f>
        <v/>
      </c>
      <c r="D48" s="10">
        <f>B48-C48</f>
        <v/>
      </c>
      <c r="E48" s="10">
        <f>MAX(E47-D48,0)</f>
        <v/>
      </c>
    </row>
    <row r="49">
      <c r="A49">
        <f>A48+1</f>
        <v/>
      </c>
      <c r="B49" s="10">
        <f>IF(A49&lt;=TermYears*12,Payment,0)</f>
        <v/>
      </c>
      <c r="C49" s="10">
        <f>E48*Rate/100/12</f>
        <v/>
      </c>
      <c r="D49" s="10">
        <f>B49-C49</f>
        <v/>
      </c>
      <c r="E49" s="10">
        <f>MAX(E48-D49,0)</f>
        <v/>
      </c>
    </row>
    <row r="50">
      <c r="A50">
        <f>A49+1</f>
        <v/>
      </c>
      <c r="B50" s="10">
        <f>IF(A50&lt;=TermYears*12,Payment,0)</f>
        <v/>
      </c>
      <c r="C50" s="10">
        <f>E49*Rate/100/12</f>
        <v/>
      </c>
      <c r="D50" s="10">
        <f>B50-C50</f>
        <v/>
      </c>
      <c r="E50" s="10">
        <f>MAX(E49-D50,0)</f>
        <v/>
      </c>
    </row>
    <row r="51">
      <c r="A51">
        <f>A50+1</f>
        <v/>
      </c>
      <c r="B51" s="10">
        <f>IF(A51&lt;=TermYears*12,Payment,0)</f>
        <v/>
      </c>
      <c r="C51" s="10">
        <f>E50*Rate/100/12</f>
        <v/>
      </c>
      <c r="D51" s="10">
        <f>B51-C51</f>
        <v/>
      </c>
      <c r="E51" s="10">
        <f>MAX(E50-D51,0)</f>
        <v/>
      </c>
    </row>
    <row r="52">
      <c r="A52">
        <f>A51+1</f>
        <v/>
      </c>
      <c r="B52" s="10">
        <f>IF(A52&lt;=TermYears*12,Payment,0)</f>
        <v/>
      </c>
      <c r="C52" s="10">
        <f>E51*Rate/100/12</f>
        <v/>
      </c>
      <c r="D52" s="10">
        <f>B52-C52</f>
        <v/>
      </c>
      <c r="E52" s="10">
        <f>MAX(E51-D52,0)</f>
        <v/>
      </c>
    </row>
    <row r="53">
      <c r="A53">
        <f>A52+1</f>
        <v/>
      </c>
      <c r="B53" s="10">
        <f>IF(A53&lt;=TermYears*12,Payment,0)</f>
        <v/>
      </c>
      <c r="C53" s="10">
        <f>E52*Rate/100/12</f>
        <v/>
      </c>
      <c r="D53" s="10">
        <f>B53-C53</f>
        <v/>
      </c>
      <c r="E53" s="10">
        <f>MAX(E52-D53,0)</f>
        <v/>
      </c>
    </row>
    <row r="54">
      <c r="A54">
        <f>A53+1</f>
        <v/>
      </c>
      <c r="B54" s="10">
        <f>IF(A54&lt;=TermYears*12,Payment,0)</f>
        <v/>
      </c>
      <c r="C54" s="10">
        <f>E53*Rate/100/12</f>
        <v/>
      </c>
      <c r="D54" s="10">
        <f>B54-C54</f>
        <v/>
      </c>
      <c r="E54" s="10">
        <f>MAX(E53-D54,0)</f>
        <v/>
      </c>
    </row>
    <row r="55">
      <c r="A55">
        <f>A54+1</f>
        <v/>
      </c>
      <c r="B55" s="10">
        <f>IF(A55&lt;=TermYears*12,Payment,0)</f>
        <v/>
      </c>
      <c r="C55" s="10">
        <f>E54*Rate/100/12</f>
        <v/>
      </c>
      <c r="D55" s="10">
        <f>B55-C55</f>
        <v/>
      </c>
      <c r="E55" s="10">
        <f>MAX(E54-D55,0)</f>
        <v/>
      </c>
    </row>
    <row r="56">
      <c r="A56">
        <f>A55+1</f>
        <v/>
      </c>
      <c r="B56" s="10">
        <f>IF(A56&lt;=TermYears*12,Payment,0)</f>
        <v/>
      </c>
      <c r="C56" s="10">
        <f>E55*Rate/100/12</f>
        <v/>
      </c>
      <c r="D56" s="10">
        <f>B56-C56</f>
        <v/>
      </c>
      <c r="E56" s="10">
        <f>MAX(E55-D56,0)</f>
        <v/>
      </c>
    </row>
    <row r="57">
      <c r="A57">
        <f>A56+1</f>
        <v/>
      </c>
      <c r="B57" s="10">
        <f>IF(A57&lt;=TermYears*12,Payment,0)</f>
        <v/>
      </c>
      <c r="C57" s="10">
        <f>E56*Rate/100/12</f>
        <v/>
      </c>
      <c r="D57" s="10">
        <f>B57-C57</f>
        <v/>
      </c>
      <c r="E57" s="10">
        <f>MAX(E56-D57,0)</f>
        <v/>
      </c>
    </row>
    <row r="58">
      <c r="A58">
        <f>A57+1</f>
        <v/>
      </c>
      <c r="B58" s="10">
        <f>IF(A58&lt;=TermYears*12,Payment,0)</f>
        <v/>
      </c>
      <c r="C58" s="10">
        <f>E57*Rate/100/12</f>
        <v/>
      </c>
      <c r="D58" s="10">
        <f>B58-C58</f>
        <v/>
      </c>
      <c r="E58" s="10">
        <f>MAX(E57-D58,0)</f>
        <v/>
      </c>
    </row>
    <row r="59">
      <c r="A59">
        <f>A58+1</f>
        <v/>
      </c>
      <c r="B59" s="10">
        <f>IF(A59&lt;=TermYears*12,Payment,0)</f>
        <v/>
      </c>
      <c r="C59" s="10">
        <f>E58*Rate/100/12</f>
        <v/>
      </c>
      <c r="D59" s="10">
        <f>B59-C59</f>
        <v/>
      </c>
      <c r="E59" s="10">
        <f>MAX(E58-D59,0)</f>
        <v/>
      </c>
    </row>
    <row r="60">
      <c r="A60">
        <f>A59+1</f>
        <v/>
      </c>
      <c r="B60" s="10">
        <f>IF(A60&lt;=TermYears*12,Payment,0)</f>
        <v/>
      </c>
      <c r="C60" s="10">
        <f>E59*Rate/100/12</f>
        <v/>
      </c>
      <c r="D60" s="10">
        <f>B60-C60</f>
        <v/>
      </c>
      <c r="E60" s="10">
        <f>MAX(E59-D60,0)</f>
        <v/>
      </c>
    </row>
    <row r="61">
      <c r="A61">
        <f>A60+1</f>
        <v/>
      </c>
      <c r="B61" s="10">
        <f>IF(A61&lt;=TermYears*12,Payment,0)</f>
        <v/>
      </c>
      <c r="C61" s="10">
        <f>E60*Rate/100/12</f>
        <v/>
      </c>
      <c r="D61" s="10">
        <f>B61-C61</f>
        <v/>
      </c>
      <c r="E61" s="10">
        <f>MAX(E60-D61,0)</f>
        <v/>
      </c>
    </row>
    <row r="62">
      <c r="A62">
        <f>A61+1</f>
        <v/>
      </c>
      <c r="B62" s="10">
        <f>IF(A62&lt;=TermYears*12,Payment,0)</f>
        <v/>
      </c>
      <c r="C62" s="10">
        <f>E61*Rate/100/12</f>
        <v/>
      </c>
      <c r="D62" s="10">
        <f>B62-C62</f>
        <v/>
      </c>
      <c r="E62" s="10">
        <f>MAX(E61-D62,0)</f>
        <v/>
      </c>
    </row>
    <row r="63">
      <c r="A63">
        <f>A62+1</f>
        <v/>
      </c>
      <c r="B63" s="10">
        <f>IF(A63&lt;=TermYears*12,Payment,0)</f>
        <v/>
      </c>
      <c r="C63" s="10">
        <f>E62*Rate/100/12</f>
        <v/>
      </c>
      <c r="D63" s="10">
        <f>B63-C63</f>
        <v/>
      </c>
      <c r="E63" s="10">
        <f>MAX(E62-D63,0)</f>
        <v/>
      </c>
    </row>
    <row r="64">
      <c r="A64">
        <f>A63+1</f>
        <v/>
      </c>
      <c r="B64" s="10">
        <f>IF(A64&lt;=TermYears*12,Payment,0)</f>
        <v/>
      </c>
      <c r="C64" s="10">
        <f>E63*Rate/100/12</f>
        <v/>
      </c>
      <c r="D64" s="10">
        <f>B64-C64</f>
        <v/>
      </c>
      <c r="E64" s="10">
        <f>MAX(E63-D64,0)</f>
        <v/>
      </c>
    </row>
    <row r="65">
      <c r="A65">
        <f>A64+1</f>
        <v/>
      </c>
      <c r="B65" s="10">
        <f>IF(A65&lt;=TermYears*12,Payment,0)</f>
        <v/>
      </c>
      <c r="C65" s="10">
        <f>E64*Rate/100/12</f>
        <v/>
      </c>
      <c r="D65" s="10">
        <f>B65-C65</f>
        <v/>
      </c>
      <c r="E65" s="10">
        <f>MAX(E64-D65,0)</f>
        <v/>
      </c>
    </row>
    <row r="66">
      <c r="A66">
        <f>A65+1</f>
        <v/>
      </c>
      <c r="B66" s="10">
        <f>IF(A66&lt;=TermYears*12,Payment,0)</f>
        <v/>
      </c>
      <c r="C66" s="10">
        <f>E65*Rate/100/12</f>
        <v/>
      </c>
      <c r="D66" s="10">
        <f>B66-C66</f>
        <v/>
      </c>
      <c r="E66" s="10">
        <f>MAX(E65-D66,0)</f>
        <v/>
      </c>
    </row>
    <row r="67">
      <c r="A67">
        <f>A66+1</f>
        <v/>
      </c>
      <c r="B67" s="10">
        <f>IF(A67&lt;=TermYears*12,Payment,0)</f>
        <v/>
      </c>
      <c r="C67" s="10">
        <f>E66*Rate/100/12</f>
        <v/>
      </c>
      <c r="D67" s="10">
        <f>B67-C67</f>
        <v/>
      </c>
      <c r="E67" s="10">
        <f>MAX(E66-D67,0)</f>
        <v/>
      </c>
    </row>
    <row r="68">
      <c r="A68">
        <f>A67+1</f>
        <v/>
      </c>
      <c r="B68" s="10">
        <f>IF(A68&lt;=TermYears*12,Payment,0)</f>
        <v/>
      </c>
      <c r="C68" s="10">
        <f>E67*Rate/100/12</f>
        <v/>
      </c>
      <c r="D68" s="10">
        <f>B68-C68</f>
        <v/>
      </c>
      <c r="E68" s="10">
        <f>MAX(E67-D68,0)</f>
        <v/>
      </c>
    </row>
    <row r="69">
      <c r="A69">
        <f>A68+1</f>
        <v/>
      </c>
      <c r="B69" s="10">
        <f>IF(A69&lt;=TermYears*12,Payment,0)</f>
        <v/>
      </c>
      <c r="C69" s="10">
        <f>E68*Rate/100/12</f>
        <v/>
      </c>
      <c r="D69" s="10">
        <f>B69-C69</f>
        <v/>
      </c>
      <c r="E69" s="10">
        <f>MAX(E68-D69,0)</f>
        <v/>
      </c>
    </row>
    <row r="70">
      <c r="A70">
        <f>A69+1</f>
        <v/>
      </c>
      <c r="B70" s="10">
        <f>IF(A70&lt;=TermYears*12,Payment,0)</f>
        <v/>
      </c>
      <c r="C70" s="10">
        <f>E69*Rate/100/12</f>
        <v/>
      </c>
      <c r="D70" s="10">
        <f>B70-C70</f>
        <v/>
      </c>
      <c r="E70" s="10">
        <f>MAX(E69-D70,0)</f>
        <v/>
      </c>
    </row>
    <row r="71">
      <c r="A71">
        <f>A70+1</f>
        <v/>
      </c>
      <c r="B71" s="10">
        <f>IF(A71&lt;=TermYears*12,Payment,0)</f>
        <v/>
      </c>
      <c r="C71" s="10">
        <f>E70*Rate/100/12</f>
        <v/>
      </c>
      <c r="D71" s="10">
        <f>B71-C71</f>
        <v/>
      </c>
      <c r="E71" s="10">
        <f>MAX(E70-D71,0)</f>
        <v/>
      </c>
    </row>
    <row r="72">
      <c r="A72">
        <f>A71+1</f>
        <v/>
      </c>
      <c r="B72" s="10">
        <f>IF(A72&lt;=TermYears*12,Payment,0)</f>
        <v/>
      </c>
      <c r="C72" s="10">
        <f>E71*Rate/100/12</f>
        <v/>
      </c>
      <c r="D72" s="10">
        <f>B72-C72</f>
        <v/>
      </c>
      <c r="E72" s="10">
        <f>MAX(E71-D72,0)</f>
        <v/>
      </c>
    </row>
    <row r="73">
      <c r="A73">
        <f>A72+1</f>
        <v/>
      </c>
      <c r="B73" s="10">
        <f>IF(A73&lt;=TermYears*12,Payment,0)</f>
        <v/>
      </c>
      <c r="C73" s="10">
        <f>E72*Rate/100/12</f>
        <v/>
      </c>
      <c r="D73" s="10">
        <f>B73-C73</f>
        <v/>
      </c>
      <c r="E73" s="10">
        <f>MAX(E72-D73,0)</f>
        <v/>
      </c>
    </row>
    <row r="74">
      <c r="A74">
        <f>A73+1</f>
        <v/>
      </c>
      <c r="B74" s="10">
        <f>IF(A74&lt;=TermYears*12,Payment,0)</f>
        <v/>
      </c>
      <c r="C74" s="10">
        <f>E73*Rate/100/12</f>
        <v/>
      </c>
      <c r="D74" s="10">
        <f>B74-C74</f>
        <v/>
      </c>
      <c r="E74" s="10">
        <f>MAX(E73-D74,0)</f>
        <v/>
      </c>
    </row>
    <row r="75">
      <c r="A75">
        <f>A74+1</f>
        <v/>
      </c>
      <c r="B75" s="10">
        <f>IF(A75&lt;=TermYears*12,Payment,0)</f>
        <v/>
      </c>
      <c r="C75" s="10">
        <f>E74*Rate/100/12</f>
        <v/>
      </c>
      <c r="D75" s="10">
        <f>B75-C75</f>
        <v/>
      </c>
      <c r="E75" s="10">
        <f>MAX(E74-D75,0)</f>
        <v/>
      </c>
    </row>
    <row r="76">
      <c r="A76">
        <f>A75+1</f>
        <v/>
      </c>
      <c r="B76" s="10">
        <f>IF(A76&lt;=TermYears*12,Payment,0)</f>
        <v/>
      </c>
      <c r="C76" s="10">
        <f>E75*Rate/100/12</f>
        <v/>
      </c>
      <c r="D76" s="10">
        <f>B76-C76</f>
        <v/>
      </c>
      <c r="E76" s="10">
        <f>MAX(E75-D76,0)</f>
        <v/>
      </c>
    </row>
    <row r="77">
      <c r="A77">
        <f>A76+1</f>
        <v/>
      </c>
      <c r="B77" s="10">
        <f>IF(A77&lt;=TermYears*12,Payment,0)</f>
        <v/>
      </c>
      <c r="C77" s="10">
        <f>E76*Rate/100/12</f>
        <v/>
      </c>
      <c r="D77" s="10">
        <f>B77-C77</f>
        <v/>
      </c>
      <c r="E77" s="10">
        <f>MAX(E76-D77,0)</f>
        <v/>
      </c>
    </row>
    <row r="78">
      <c r="A78">
        <f>A77+1</f>
        <v/>
      </c>
      <c r="B78" s="10">
        <f>IF(A78&lt;=TermYears*12,Payment,0)</f>
        <v/>
      </c>
      <c r="C78" s="10">
        <f>E77*Rate/100/12</f>
        <v/>
      </c>
      <c r="D78" s="10">
        <f>B78-C78</f>
        <v/>
      </c>
      <c r="E78" s="10">
        <f>MAX(E77-D78,0)</f>
        <v/>
      </c>
    </row>
    <row r="79">
      <c r="A79">
        <f>A78+1</f>
        <v/>
      </c>
      <c r="B79" s="10">
        <f>IF(A79&lt;=TermYears*12,Payment,0)</f>
        <v/>
      </c>
      <c r="C79" s="10">
        <f>E78*Rate/100/12</f>
        <v/>
      </c>
      <c r="D79" s="10">
        <f>B79-C79</f>
        <v/>
      </c>
      <c r="E79" s="10">
        <f>MAX(E78-D79,0)</f>
        <v/>
      </c>
    </row>
    <row r="80">
      <c r="A80">
        <f>A79+1</f>
        <v/>
      </c>
      <c r="B80" s="10">
        <f>IF(A80&lt;=TermYears*12,Payment,0)</f>
        <v/>
      </c>
      <c r="C80" s="10">
        <f>E79*Rate/100/12</f>
        <v/>
      </c>
      <c r="D80" s="10">
        <f>B80-C80</f>
        <v/>
      </c>
      <c r="E80" s="10">
        <f>MAX(E79-D80,0)</f>
        <v/>
      </c>
    </row>
    <row r="81">
      <c r="A81">
        <f>A80+1</f>
        <v/>
      </c>
      <c r="B81" s="10">
        <f>IF(A81&lt;=TermYears*12,Payment,0)</f>
        <v/>
      </c>
      <c r="C81" s="10">
        <f>E80*Rate/100/12</f>
        <v/>
      </c>
      <c r="D81" s="10">
        <f>B81-C81</f>
        <v/>
      </c>
      <c r="E81" s="10">
        <f>MAX(E80-D81,0)</f>
        <v/>
      </c>
    </row>
    <row r="82">
      <c r="A82">
        <f>A81+1</f>
        <v/>
      </c>
      <c r="B82" s="10">
        <f>IF(A82&lt;=TermYears*12,Payment,0)</f>
        <v/>
      </c>
      <c r="C82" s="10">
        <f>E81*Rate/100/12</f>
        <v/>
      </c>
      <c r="D82" s="10">
        <f>B82-C82</f>
        <v/>
      </c>
      <c r="E82" s="10">
        <f>MAX(E81-D82,0)</f>
        <v/>
      </c>
    </row>
    <row r="83">
      <c r="A83">
        <f>A82+1</f>
        <v/>
      </c>
      <c r="B83" s="10">
        <f>IF(A83&lt;=TermYears*12,Payment,0)</f>
        <v/>
      </c>
      <c r="C83" s="10">
        <f>E82*Rate/100/12</f>
        <v/>
      </c>
      <c r="D83" s="10">
        <f>B83-C83</f>
        <v/>
      </c>
      <c r="E83" s="10">
        <f>MAX(E82-D83,0)</f>
        <v/>
      </c>
    </row>
    <row r="84">
      <c r="A84">
        <f>A83+1</f>
        <v/>
      </c>
      <c r="B84" s="10">
        <f>IF(A84&lt;=TermYears*12,Payment,0)</f>
        <v/>
      </c>
      <c r="C84" s="10">
        <f>E83*Rate/100/12</f>
        <v/>
      </c>
      <c r="D84" s="10">
        <f>B84-C84</f>
        <v/>
      </c>
      <c r="E84" s="10">
        <f>MAX(E83-D84,0)</f>
        <v/>
      </c>
    </row>
    <row r="85">
      <c r="A85">
        <f>A84+1</f>
        <v/>
      </c>
      <c r="B85" s="10">
        <f>IF(A85&lt;=TermYears*12,Payment,0)</f>
        <v/>
      </c>
      <c r="C85" s="10">
        <f>E84*Rate/100/12</f>
        <v/>
      </c>
      <c r="D85" s="10">
        <f>B85-C85</f>
        <v/>
      </c>
      <c r="E85" s="10">
        <f>MAX(E84-D85,0)</f>
        <v/>
      </c>
    </row>
    <row r="86">
      <c r="A86">
        <f>A85+1</f>
        <v/>
      </c>
      <c r="B86" s="10">
        <f>IF(A86&lt;=TermYears*12,Payment,0)</f>
        <v/>
      </c>
      <c r="C86" s="10">
        <f>E85*Rate/100/12</f>
        <v/>
      </c>
      <c r="D86" s="10">
        <f>B86-C86</f>
        <v/>
      </c>
      <c r="E86" s="10">
        <f>MAX(E85-D86,0)</f>
        <v/>
      </c>
    </row>
    <row r="87">
      <c r="A87">
        <f>A86+1</f>
        <v/>
      </c>
      <c r="B87" s="10">
        <f>IF(A87&lt;=TermYears*12,Payment,0)</f>
        <v/>
      </c>
      <c r="C87" s="10">
        <f>E86*Rate/100/12</f>
        <v/>
      </c>
      <c r="D87" s="10">
        <f>B87-C87</f>
        <v/>
      </c>
      <c r="E87" s="10">
        <f>MAX(E86-D87,0)</f>
        <v/>
      </c>
    </row>
    <row r="88">
      <c r="A88">
        <f>A87+1</f>
        <v/>
      </c>
      <c r="B88" s="10">
        <f>IF(A88&lt;=TermYears*12,Payment,0)</f>
        <v/>
      </c>
      <c r="C88" s="10">
        <f>E87*Rate/100/12</f>
        <v/>
      </c>
      <c r="D88" s="10">
        <f>B88-C88</f>
        <v/>
      </c>
      <c r="E88" s="10">
        <f>MAX(E87-D88,0)</f>
        <v/>
      </c>
    </row>
    <row r="89">
      <c r="A89">
        <f>A88+1</f>
        <v/>
      </c>
      <c r="B89" s="10">
        <f>IF(A89&lt;=TermYears*12,Payment,0)</f>
        <v/>
      </c>
      <c r="C89" s="10">
        <f>E88*Rate/100/12</f>
        <v/>
      </c>
      <c r="D89" s="10">
        <f>B89-C89</f>
        <v/>
      </c>
      <c r="E89" s="10">
        <f>MAX(E88-D89,0)</f>
        <v/>
      </c>
    </row>
    <row r="90">
      <c r="A90">
        <f>A89+1</f>
        <v/>
      </c>
      <c r="B90" s="10">
        <f>IF(A90&lt;=TermYears*12,Payment,0)</f>
        <v/>
      </c>
      <c r="C90" s="10">
        <f>E89*Rate/100/12</f>
        <v/>
      </c>
      <c r="D90" s="10">
        <f>B90-C90</f>
        <v/>
      </c>
      <c r="E90" s="10">
        <f>MAX(E89-D90,0)</f>
        <v/>
      </c>
    </row>
    <row r="91">
      <c r="A91">
        <f>A90+1</f>
        <v/>
      </c>
      <c r="B91" s="10">
        <f>IF(A91&lt;=TermYears*12,Payment,0)</f>
        <v/>
      </c>
      <c r="C91" s="10">
        <f>E90*Rate/100/12</f>
        <v/>
      </c>
      <c r="D91" s="10">
        <f>B91-C91</f>
        <v/>
      </c>
      <c r="E91" s="10">
        <f>MAX(E90-D91,0)</f>
        <v/>
      </c>
    </row>
    <row r="92">
      <c r="A92">
        <f>A91+1</f>
        <v/>
      </c>
      <c r="B92" s="10">
        <f>IF(A92&lt;=TermYears*12,Payment,0)</f>
        <v/>
      </c>
      <c r="C92" s="10">
        <f>E91*Rate/100/12</f>
        <v/>
      </c>
      <c r="D92" s="10">
        <f>B92-C92</f>
        <v/>
      </c>
      <c r="E92" s="10">
        <f>MAX(E91-D92,0)</f>
        <v/>
      </c>
    </row>
    <row r="93">
      <c r="A93">
        <f>A92+1</f>
        <v/>
      </c>
      <c r="B93" s="10">
        <f>IF(A93&lt;=TermYears*12,Payment,0)</f>
        <v/>
      </c>
      <c r="C93" s="10">
        <f>E92*Rate/100/12</f>
        <v/>
      </c>
      <c r="D93" s="10">
        <f>B93-C93</f>
        <v/>
      </c>
      <c r="E93" s="10">
        <f>MAX(E92-D93,0)</f>
        <v/>
      </c>
    </row>
    <row r="94">
      <c r="A94">
        <f>A93+1</f>
        <v/>
      </c>
      <c r="B94" s="10">
        <f>IF(A94&lt;=TermYears*12,Payment,0)</f>
        <v/>
      </c>
      <c r="C94" s="10">
        <f>E93*Rate/100/12</f>
        <v/>
      </c>
      <c r="D94" s="10">
        <f>B94-C94</f>
        <v/>
      </c>
      <c r="E94" s="10">
        <f>MAX(E93-D94,0)</f>
        <v/>
      </c>
    </row>
    <row r="95">
      <c r="A95">
        <f>A94+1</f>
        <v/>
      </c>
      <c r="B95" s="10">
        <f>IF(A95&lt;=TermYears*12,Payment,0)</f>
        <v/>
      </c>
      <c r="C95" s="10">
        <f>E94*Rate/100/12</f>
        <v/>
      </c>
      <c r="D95" s="10">
        <f>B95-C95</f>
        <v/>
      </c>
      <c r="E95" s="10">
        <f>MAX(E94-D95,0)</f>
        <v/>
      </c>
    </row>
    <row r="96">
      <c r="A96">
        <f>A95+1</f>
        <v/>
      </c>
      <c r="B96" s="10">
        <f>IF(A96&lt;=TermYears*12,Payment,0)</f>
        <v/>
      </c>
      <c r="C96" s="10">
        <f>E95*Rate/100/12</f>
        <v/>
      </c>
      <c r="D96" s="10">
        <f>B96-C96</f>
        <v/>
      </c>
      <c r="E96" s="10">
        <f>MAX(E95-D96,0)</f>
        <v/>
      </c>
    </row>
    <row r="97">
      <c r="A97">
        <f>A96+1</f>
        <v/>
      </c>
      <c r="B97" s="10">
        <f>IF(A97&lt;=TermYears*12,Payment,0)</f>
        <v/>
      </c>
      <c r="C97" s="10">
        <f>E96*Rate/100/12</f>
        <v/>
      </c>
      <c r="D97" s="10">
        <f>B97-C97</f>
        <v/>
      </c>
      <c r="E97" s="10">
        <f>MAX(E96-D97,0)</f>
        <v/>
      </c>
    </row>
    <row r="98">
      <c r="A98">
        <f>A97+1</f>
        <v/>
      </c>
      <c r="B98" s="10">
        <f>IF(A98&lt;=TermYears*12,Payment,0)</f>
        <v/>
      </c>
      <c r="C98" s="10">
        <f>E97*Rate/100/12</f>
        <v/>
      </c>
      <c r="D98" s="10">
        <f>B98-C98</f>
        <v/>
      </c>
      <c r="E98" s="10">
        <f>MAX(E97-D98,0)</f>
        <v/>
      </c>
    </row>
    <row r="99">
      <c r="A99">
        <f>A98+1</f>
        <v/>
      </c>
      <c r="B99" s="10">
        <f>IF(A99&lt;=TermYears*12,Payment,0)</f>
        <v/>
      </c>
      <c r="C99" s="10">
        <f>E98*Rate/100/12</f>
        <v/>
      </c>
      <c r="D99" s="10">
        <f>B99-C99</f>
        <v/>
      </c>
      <c r="E99" s="10">
        <f>MAX(E98-D99,0)</f>
        <v/>
      </c>
    </row>
    <row r="100">
      <c r="A100">
        <f>A99+1</f>
        <v/>
      </c>
      <c r="B100" s="10">
        <f>IF(A100&lt;=TermYears*12,Payment,0)</f>
        <v/>
      </c>
      <c r="C100" s="10">
        <f>E99*Rate/100/12</f>
        <v/>
      </c>
      <c r="D100" s="10">
        <f>B100-C100</f>
        <v/>
      </c>
      <c r="E100" s="10">
        <f>MAX(E99-D100,0)</f>
        <v/>
      </c>
    </row>
    <row r="101">
      <c r="A101">
        <f>A100+1</f>
        <v/>
      </c>
      <c r="B101" s="10">
        <f>IF(A101&lt;=TermYears*12,Payment,0)</f>
        <v/>
      </c>
      <c r="C101" s="10">
        <f>E100*Rate/100/12</f>
        <v/>
      </c>
      <c r="D101" s="10">
        <f>B101-C101</f>
        <v/>
      </c>
      <c r="E101" s="10">
        <f>MAX(E100-D101,0)</f>
        <v/>
      </c>
    </row>
    <row r="102">
      <c r="A102">
        <f>A101+1</f>
        <v/>
      </c>
      <c r="B102" s="10">
        <f>IF(A102&lt;=TermYears*12,Payment,0)</f>
        <v/>
      </c>
      <c r="C102" s="10">
        <f>E101*Rate/100/12</f>
        <v/>
      </c>
      <c r="D102" s="10">
        <f>B102-C102</f>
        <v/>
      </c>
      <c r="E102" s="10">
        <f>MAX(E101-D102,0)</f>
        <v/>
      </c>
    </row>
    <row r="103">
      <c r="A103">
        <f>A102+1</f>
        <v/>
      </c>
      <c r="B103" s="10">
        <f>IF(A103&lt;=TermYears*12,Payment,0)</f>
        <v/>
      </c>
      <c r="C103" s="10">
        <f>E102*Rate/100/12</f>
        <v/>
      </c>
      <c r="D103" s="10">
        <f>B103-C103</f>
        <v/>
      </c>
      <c r="E103" s="10">
        <f>MAX(E102-D103,0)</f>
        <v/>
      </c>
    </row>
    <row r="104">
      <c r="A104">
        <f>A103+1</f>
        <v/>
      </c>
      <c r="B104" s="10">
        <f>IF(A104&lt;=TermYears*12,Payment,0)</f>
        <v/>
      </c>
      <c r="C104" s="10">
        <f>E103*Rate/100/12</f>
        <v/>
      </c>
      <c r="D104" s="10">
        <f>B104-C104</f>
        <v/>
      </c>
      <c r="E104" s="10">
        <f>MAX(E103-D104,0)</f>
        <v/>
      </c>
    </row>
    <row r="105">
      <c r="A105">
        <f>A104+1</f>
        <v/>
      </c>
      <c r="B105" s="10">
        <f>IF(A105&lt;=TermYears*12,Payment,0)</f>
        <v/>
      </c>
      <c r="C105" s="10">
        <f>E104*Rate/100/12</f>
        <v/>
      </c>
      <c r="D105" s="10">
        <f>B105-C105</f>
        <v/>
      </c>
      <c r="E105" s="10">
        <f>MAX(E104-D105,0)</f>
        <v/>
      </c>
    </row>
    <row r="106">
      <c r="A106">
        <f>A105+1</f>
        <v/>
      </c>
      <c r="B106" s="10">
        <f>IF(A106&lt;=TermYears*12,Payment,0)</f>
        <v/>
      </c>
      <c r="C106" s="10">
        <f>E105*Rate/100/12</f>
        <v/>
      </c>
      <c r="D106" s="10">
        <f>B106-C106</f>
        <v/>
      </c>
      <c r="E106" s="10">
        <f>MAX(E105-D106,0)</f>
        <v/>
      </c>
    </row>
    <row r="107">
      <c r="A107">
        <f>A106+1</f>
        <v/>
      </c>
      <c r="B107" s="10">
        <f>IF(A107&lt;=TermYears*12,Payment,0)</f>
        <v/>
      </c>
      <c r="C107" s="10">
        <f>E106*Rate/100/12</f>
        <v/>
      </c>
      <c r="D107" s="10">
        <f>B107-C107</f>
        <v/>
      </c>
      <c r="E107" s="10">
        <f>MAX(E106-D107,0)</f>
        <v/>
      </c>
    </row>
    <row r="108">
      <c r="A108">
        <f>A107+1</f>
        <v/>
      </c>
      <c r="B108" s="10">
        <f>IF(A108&lt;=TermYears*12,Payment,0)</f>
        <v/>
      </c>
      <c r="C108" s="10">
        <f>E107*Rate/100/12</f>
        <v/>
      </c>
      <c r="D108" s="10">
        <f>B108-C108</f>
        <v/>
      </c>
      <c r="E108" s="10">
        <f>MAX(E107-D108,0)</f>
        <v/>
      </c>
    </row>
    <row r="109">
      <c r="A109">
        <f>A108+1</f>
        <v/>
      </c>
      <c r="B109" s="10">
        <f>IF(A109&lt;=TermYears*12,Payment,0)</f>
        <v/>
      </c>
      <c r="C109" s="10">
        <f>E108*Rate/100/12</f>
        <v/>
      </c>
      <c r="D109" s="10">
        <f>B109-C109</f>
        <v/>
      </c>
      <c r="E109" s="10">
        <f>MAX(E108-D109,0)</f>
        <v/>
      </c>
    </row>
    <row r="110">
      <c r="A110">
        <f>A109+1</f>
        <v/>
      </c>
      <c r="B110" s="10">
        <f>IF(A110&lt;=TermYears*12,Payment,0)</f>
        <v/>
      </c>
      <c r="C110" s="10">
        <f>E109*Rate/100/12</f>
        <v/>
      </c>
      <c r="D110" s="10">
        <f>B110-C110</f>
        <v/>
      </c>
      <c r="E110" s="10">
        <f>MAX(E109-D110,0)</f>
        <v/>
      </c>
    </row>
    <row r="111">
      <c r="A111">
        <f>A110+1</f>
        <v/>
      </c>
      <c r="B111" s="10">
        <f>IF(A111&lt;=TermYears*12,Payment,0)</f>
        <v/>
      </c>
      <c r="C111" s="10">
        <f>E110*Rate/100/12</f>
        <v/>
      </c>
      <c r="D111" s="10">
        <f>B111-C111</f>
        <v/>
      </c>
      <c r="E111" s="10">
        <f>MAX(E110-D111,0)</f>
        <v/>
      </c>
    </row>
    <row r="112">
      <c r="A112">
        <f>A111+1</f>
        <v/>
      </c>
      <c r="B112" s="10">
        <f>IF(A112&lt;=TermYears*12,Payment,0)</f>
        <v/>
      </c>
      <c r="C112" s="10">
        <f>E111*Rate/100/12</f>
        <v/>
      </c>
      <c r="D112" s="10">
        <f>B112-C112</f>
        <v/>
      </c>
      <c r="E112" s="10">
        <f>MAX(E111-D112,0)</f>
        <v/>
      </c>
    </row>
    <row r="113">
      <c r="A113">
        <f>A112+1</f>
        <v/>
      </c>
      <c r="B113" s="10">
        <f>IF(A113&lt;=TermYears*12,Payment,0)</f>
        <v/>
      </c>
      <c r="C113" s="10">
        <f>E112*Rate/100/12</f>
        <v/>
      </c>
      <c r="D113" s="10">
        <f>B113-C113</f>
        <v/>
      </c>
      <c r="E113" s="10">
        <f>MAX(E112-D113,0)</f>
        <v/>
      </c>
    </row>
    <row r="114">
      <c r="A114">
        <f>A113+1</f>
        <v/>
      </c>
      <c r="B114" s="10">
        <f>IF(A114&lt;=TermYears*12,Payment,0)</f>
        <v/>
      </c>
      <c r="C114" s="10">
        <f>E113*Rate/100/12</f>
        <v/>
      </c>
      <c r="D114" s="10">
        <f>B114-C114</f>
        <v/>
      </c>
      <c r="E114" s="10">
        <f>MAX(E113-D114,0)</f>
        <v/>
      </c>
    </row>
    <row r="115">
      <c r="A115">
        <f>A114+1</f>
        <v/>
      </c>
      <c r="B115" s="10">
        <f>IF(A115&lt;=TermYears*12,Payment,0)</f>
        <v/>
      </c>
      <c r="C115" s="10">
        <f>E114*Rate/100/12</f>
        <v/>
      </c>
      <c r="D115" s="10">
        <f>B115-C115</f>
        <v/>
      </c>
      <c r="E115" s="10">
        <f>MAX(E114-D115,0)</f>
        <v/>
      </c>
    </row>
    <row r="116">
      <c r="A116">
        <f>A115+1</f>
        <v/>
      </c>
      <c r="B116" s="10">
        <f>IF(A116&lt;=TermYears*12,Payment,0)</f>
        <v/>
      </c>
      <c r="C116" s="10">
        <f>E115*Rate/100/12</f>
        <v/>
      </c>
      <c r="D116" s="10">
        <f>B116-C116</f>
        <v/>
      </c>
      <c r="E116" s="10">
        <f>MAX(E115-D116,0)</f>
        <v/>
      </c>
    </row>
    <row r="117">
      <c r="A117">
        <f>A116+1</f>
        <v/>
      </c>
      <c r="B117" s="10">
        <f>IF(A117&lt;=TermYears*12,Payment,0)</f>
        <v/>
      </c>
      <c r="C117" s="10">
        <f>E116*Rate/100/12</f>
        <v/>
      </c>
      <c r="D117" s="10">
        <f>B117-C117</f>
        <v/>
      </c>
      <c r="E117" s="10">
        <f>MAX(E116-D117,0)</f>
        <v/>
      </c>
    </row>
    <row r="118">
      <c r="A118">
        <f>A117+1</f>
        <v/>
      </c>
      <c r="B118" s="10">
        <f>IF(A118&lt;=TermYears*12,Payment,0)</f>
        <v/>
      </c>
      <c r="C118" s="10">
        <f>E117*Rate/100/12</f>
        <v/>
      </c>
      <c r="D118" s="10">
        <f>B118-C118</f>
        <v/>
      </c>
      <c r="E118" s="10">
        <f>MAX(E117-D118,0)</f>
        <v/>
      </c>
    </row>
    <row r="119">
      <c r="A119">
        <f>A118+1</f>
        <v/>
      </c>
      <c r="B119" s="10">
        <f>IF(A119&lt;=TermYears*12,Payment,0)</f>
        <v/>
      </c>
      <c r="C119" s="10">
        <f>E118*Rate/100/12</f>
        <v/>
      </c>
      <c r="D119" s="10">
        <f>B119-C119</f>
        <v/>
      </c>
      <c r="E119" s="10">
        <f>MAX(E118-D119,0)</f>
        <v/>
      </c>
    </row>
    <row r="120">
      <c r="A120">
        <f>A119+1</f>
        <v/>
      </c>
      <c r="B120" s="10">
        <f>IF(A120&lt;=TermYears*12,Payment,0)</f>
        <v/>
      </c>
      <c r="C120" s="10">
        <f>E119*Rate/100/12</f>
        <v/>
      </c>
      <c r="D120" s="10">
        <f>B120-C120</f>
        <v/>
      </c>
      <c r="E120" s="10">
        <f>MAX(E119-D120,0)</f>
        <v/>
      </c>
    </row>
    <row r="121">
      <c r="A121">
        <f>A120+1</f>
        <v/>
      </c>
      <c r="B121" s="10">
        <f>IF(A121&lt;=TermYears*12,Payment,0)</f>
        <v/>
      </c>
      <c r="C121" s="10">
        <f>E120*Rate/100/12</f>
        <v/>
      </c>
      <c r="D121" s="10">
        <f>B121-C121</f>
        <v/>
      </c>
      <c r="E121" s="10">
        <f>MAX(E120-D121,0)</f>
        <v/>
      </c>
    </row>
    <row r="122">
      <c r="A122">
        <f>A121+1</f>
        <v/>
      </c>
      <c r="B122" s="10">
        <f>IF(A122&lt;=TermYears*12,Payment,0)</f>
        <v/>
      </c>
      <c r="C122" s="10">
        <f>E121*Rate/100/12</f>
        <v/>
      </c>
      <c r="D122" s="10">
        <f>B122-C122</f>
        <v/>
      </c>
      <c r="E122" s="10">
        <f>MAX(E121-D122,0)</f>
        <v/>
      </c>
    </row>
    <row r="123">
      <c r="A123">
        <f>A122+1</f>
        <v/>
      </c>
      <c r="B123" s="10">
        <f>IF(A123&lt;=TermYears*12,Payment,0)</f>
        <v/>
      </c>
      <c r="C123" s="10">
        <f>E122*Rate/100/12</f>
        <v/>
      </c>
      <c r="D123" s="10">
        <f>B123-C123</f>
        <v/>
      </c>
      <c r="E123" s="10">
        <f>MAX(E122-D123,0)</f>
        <v/>
      </c>
    </row>
    <row r="124">
      <c r="A124">
        <f>A123+1</f>
        <v/>
      </c>
      <c r="B124" s="10">
        <f>IF(A124&lt;=TermYears*12,Payment,0)</f>
        <v/>
      </c>
      <c r="C124" s="10">
        <f>E123*Rate/100/12</f>
        <v/>
      </c>
      <c r="D124" s="10">
        <f>B124-C124</f>
        <v/>
      </c>
      <c r="E124" s="10">
        <f>MAX(E123-D124,0)</f>
        <v/>
      </c>
    </row>
    <row r="125">
      <c r="A125">
        <f>A124+1</f>
        <v/>
      </c>
      <c r="B125" s="10">
        <f>IF(A125&lt;=TermYears*12,Payment,0)</f>
        <v/>
      </c>
      <c r="C125" s="10">
        <f>E124*Rate/100/12</f>
        <v/>
      </c>
      <c r="D125" s="10">
        <f>B125-C125</f>
        <v/>
      </c>
      <c r="E125" s="10">
        <f>MAX(E124-D125,0)</f>
        <v/>
      </c>
    </row>
    <row r="126">
      <c r="A126">
        <f>A125+1</f>
        <v/>
      </c>
      <c r="B126" s="10">
        <f>IF(A126&lt;=TermYears*12,Payment,0)</f>
        <v/>
      </c>
      <c r="C126" s="10">
        <f>E125*Rate/100/12</f>
        <v/>
      </c>
      <c r="D126" s="10">
        <f>B126-C126</f>
        <v/>
      </c>
      <c r="E126" s="10">
        <f>MAX(E125-D126,0)</f>
        <v/>
      </c>
    </row>
    <row r="127">
      <c r="A127">
        <f>A126+1</f>
        <v/>
      </c>
      <c r="B127" s="10">
        <f>IF(A127&lt;=TermYears*12,Payment,0)</f>
        <v/>
      </c>
      <c r="C127" s="10">
        <f>E126*Rate/100/12</f>
        <v/>
      </c>
      <c r="D127" s="10">
        <f>B127-C127</f>
        <v/>
      </c>
      <c r="E127" s="10">
        <f>MAX(E126-D127,0)</f>
        <v/>
      </c>
    </row>
    <row r="128">
      <c r="A128">
        <f>A127+1</f>
        <v/>
      </c>
      <c r="B128" s="10">
        <f>IF(A128&lt;=TermYears*12,Payment,0)</f>
        <v/>
      </c>
      <c r="C128" s="10">
        <f>E127*Rate/100/12</f>
        <v/>
      </c>
      <c r="D128" s="10">
        <f>B128-C128</f>
        <v/>
      </c>
      <c r="E128" s="10">
        <f>MAX(E127-D128,0)</f>
        <v/>
      </c>
    </row>
    <row r="129">
      <c r="A129">
        <f>A128+1</f>
        <v/>
      </c>
      <c r="B129" s="10">
        <f>IF(A129&lt;=TermYears*12,Payment,0)</f>
        <v/>
      </c>
      <c r="C129" s="10">
        <f>E128*Rate/100/12</f>
        <v/>
      </c>
      <c r="D129" s="10">
        <f>B129-C129</f>
        <v/>
      </c>
      <c r="E129" s="10">
        <f>MAX(E128-D129,0)</f>
        <v/>
      </c>
    </row>
    <row r="130">
      <c r="A130">
        <f>A129+1</f>
        <v/>
      </c>
      <c r="B130" s="10">
        <f>IF(A130&lt;=TermYears*12,Payment,0)</f>
        <v/>
      </c>
      <c r="C130" s="10">
        <f>E129*Rate/100/12</f>
        <v/>
      </c>
      <c r="D130" s="10">
        <f>B130-C130</f>
        <v/>
      </c>
      <c r="E130" s="10">
        <f>MAX(E129-D130,0)</f>
        <v/>
      </c>
    </row>
    <row r="131">
      <c r="A131">
        <f>A130+1</f>
        <v/>
      </c>
      <c r="B131" s="10">
        <f>IF(A131&lt;=TermYears*12,Payment,0)</f>
        <v/>
      </c>
      <c r="C131" s="10">
        <f>E130*Rate/100/12</f>
        <v/>
      </c>
      <c r="D131" s="10">
        <f>B131-C131</f>
        <v/>
      </c>
      <c r="E131" s="10">
        <f>MAX(E130-D131,0)</f>
        <v/>
      </c>
    </row>
    <row r="132">
      <c r="A132">
        <f>A131+1</f>
        <v/>
      </c>
      <c r="B132" s="10">
        <f>IF(A132&lt;=TermYears*12,Payment,0)</f>
        <v/>
      </c>
      <c r="C132" s="10">
        <f>E131*Rate/100/12</f>
        <v/>
      </c>
      <c r="D132" s="10">
        <f>B132-C132</f>
        <v/>
      </c>
      <c r="E132" s="10">
        <f>MAX(E131-D132,0)</f>
        <v/>
      </c>
    </row>
    <row r="133">
      <c r="A133">
        <f>A132+1</f>
        <v/>
      </c>
      <c r="B133" s="10">
        <f>IF(A133&lt;=TermYears*12,Payment,0)</f>
        <v/>
      </c>
      <c r="C133" s="10">
        <f>E132*Rate/100/12</f>
        <v/>
      </c>
      <c r="D133" s="10">
        <f>B133-C133</f>
        <v/>
      </c>
      <c r="E133" s="10">
        <f>MAX(E132-D133,0)</f>
        <v/>
      </c>
    </row>
    <row r="134">
      <c r="A134">
        <f>A133+1</f>
        <v/>
      </c>
      <c r="B134" s="10">
        <f>IF(A134&lt;=TermYears*12,Payment,0)</f>
        <v/>
      </c>
      <c r="C134" s="10">
        <f>E133*Rate/100/12</f>
        <v/>
      </c>
      <c r="D134" s="10">
        <f>B134-C134</f>
        <v/>
      </c>
      <c r="E134" s="10">
        <f>MAX(E133-D134,0)</f>
        <v/>
      </c>
    </row>
    <row r="135">
      <c r="A135">
        <f>A134+1</f>
        <v/>
      </c>
      <c r="B135" s="10">
        <f>IF(A135&lt;=TermYears*12,Payment,0)</f>
        <v/>
      </c>
      <c r="C135" s="10">
        <f>E134*Rate/100/12</f>
        <v/>
      </c>
      <c r="D135" s="10">
        <f>B135-C135</f>
        <v/>
      </c>
      <c r="E135" s="10">
        <f>MAX(E134-D135,0)</f>
        <v/>
      </c>
    </row>
    <row r="136">
      <c r="A136">
        <f>A135+1</f>
        <v/>
      </c>
      <c r="B136" s="10">
        <f>IF(A136&lt;=TermYears*12,Payment,0)</f>
        <v/>
      </c>
      <c r="C136" s="10">
        <f>E135*Rate/100/12</f>
        <v/>
      </c>
      <c r="D136" s="10">
        <f>B136-C136</f>
        <v/>
      </c>
      <c r="E136" s="10">
        <f>MAX(E135-D136,0)</f>
        <v/>
      </c>
    </row>
    <row r="137">
      <c r="A137">
        <f>A136+1</f>
        <v/>
      </c>
      <c r="B137" s="10">
        <f>IF(A137&lt;=TermYears*12,Payment,0)</f>
        <v/>
      </c>
      <c r="C137" s="10">
        <f>E136*Rate/100/12</f>
        <v/>
      </c>
      <c r="D137" s="10">
        <f>B137-C137</f>
        <v/>
      </c>
      <c r="E137" s="10">
        <f>MAX(E136-D137,0)</f>
        <v/>
      </c>
    </row>
    <row r="138">
      <c r="A138">
        <f>A137+1</f>
        <v/>
      </c>
      <c r="B138" s="10">
        <f>IF(A138&lt;=TermYears*12,Payment,0)</f>
        <v/>
      </c>
      <c r="C138" s="10">
        <f>E137*Rate/100/12</f>
        <v/>
      </c>
      <c r="D138" s="10">
        <f>B138-C138</f>
        <v/>
      </c>
      <c r="E138" s="10">
        <f>MAX(E137-D138,0)</f>
        <v/>
      </c>
    </row>
    <row r="139">
      <c r="A139">
        <f>A138+1</f>
        <v/>
      </c>
      <c r="B139" s="10">
        <f>IF(A139&lt;=TermYears*12,Payment,0)</f>
        <v/>
      </c>
      <c r="C139" s="10">
        <f>E138*Rate/100/12</f>
        <v/>
      </c>
      <c r="D139" s="10">
        <f>B139-C139</f>
        <v/>
      </c>
      <c r="E139" s="10">
        <f>MAX(E138-D139,0)</f>
        <v/>
      </c>
    </row>
    <row r="140">
      <c r="A140">
        <f>A139+1</f>
        <v/>
      </c>
      <c r="B140" s="10">
        <f>IF(A140&lt;=TermYears*12,Payment,0)</f>
        <v/>
      </c>
      <c r="C140" s="10">
        <f>E139*Rate/100/12</f>
        <v/>
      </c>
      <c r="D140" s="10">
        <f>B140-C140</f>
        <v/>
      </c>
      <c r="E140" s="10">
        <f>MAX(E139-D140,0)</f>
        <v/>
      </c>
    </row>
    <row r="141">
      <c r="A141">
        <f>A140+1</f>
        <v/>
      </c>
      <c r="B141" s="10">
        <f>IF(A141&lt;=TermYears*12,Payment,0)</f>
        <v/>
      </c>
      <c r="C141" s="10">
        <f>E140*Rate/100/12</f>
        <v/>
      </c>
      <c r="D141" s="10">
        <f>B141-C141</f>
        <v/>
      </c>
      <c r="E141" s="10">
        <f>MAX(E140-D141,0)</f>
        <v/>
      </c>
    </row>
    <row r="142">
      <c r="A142">
        <f>A141+1</f>
        <v/>
      </c>
      <c r="B142" s="10">
        <f>IF(A142&lt;=TermYears*12,Payment,0)</f>
        <v/>
      </c>
      <c r="C142" s="10">
        <f>E141*Rate/100/12</f>
        <v/>
      </c>
      <c r="D142" s="10">
        <f>B142-C142</f>
        <v/>
      </c>
      <c r="E142" s="10">
        <f>MAX(E141-D142,0)</f>
        <v/>
      </c>
    </row>
    <row r="143">
      <c r="A143">
        <f>A142+1</f>
        <v/>
      </c>
      <c r="B143" s="10">
        <f>IF(A143&lt;=TermYears*12,Payment,0)</f>
        <v/>
      </c>
      <c r="C143" s="10">
        <f>E142*Rate/100/12</f>
        <v/>
      </c>
      <c r="D143" s="10">
        <f>B143-C143</f>
        <v/>
      </c>
      <c r="E143" s="10">
        <f>MAX(E142-D143,0)</f>
        <v/>
      </c>
    </row>
    <row r="144">
      <c r="A144">
        <f>A143+1</f>
        <v/>
      </c>
      <c r="B144" s="10">
        <f>IF(A144&lt;=TermYears*12,Payment,0)</f>
        <v/>
      </c>
      <c r="C144" s="10">
        <f>E143*Rate/100/12</f>
        <v/>
      </c>
      <c r="D144" s="10">
        <f>B144-C144</f>
        <v/>
      </c>
      <c r="E144" s="10">
        <f>MAX(E143-D144,0)</f>
        <v/>
      </c>
    </row>
    <row r="145">
      <c r="A145">
        <f>A144+1</f>
        <v/>
      </c>
      <c r="B145" s="10">
        <f>IF(A145&lt;=TermYears*12,Payment,0)</f>
        <v/>
      </c>
      <c r="C145" s="10">
        <f>E144*Rate/100/12</f>
        <v/>
      </c>
      <c r="D145" s="10">
        <f>B145-C145</f>
        <v/>
      </c>
      <c r="E145" s="10">
        <f>MAX(E144-D145,0)</f>
        <v/>
      </c>
    </row>
    <row r="146">
      <c r="A146">
        <f>A145+1</f>
        <v/>
      </c>
      <c r="B146" s="10">
        <f>IF(A146&lt;=TermYears*12,Payment,0)</f>
        <v/>
      </c>
      <c r="C146" s="10">
        <f>E145*Rate/100/12</f>
        <v/>
      </c>
      <c r="D146" s="10">
        <f>B146-C146</f>
        <v/>
      </c>
      <c r="E146" s="10">
        <f>MAX(E145-D146,0)</f>
        <v/>
      </c>
    </row>
    <row r="147">
      <c r="A147">
        <f>A146+1</f>
        <v/>
      </c>
      <c r="B147" s="10">
        <f>IF(A147&lt;=TermYears*12,Payment,0)</f>
        <v/>
      </c>
      <c r="C147" s="10">
        <f>E146*Rate/100/12</f>
        <v/>
      </c>
      <c r="D147" s="10">
        <f>B147-C147</f>
        <v/>
      </c>
      <c r="E147" s="10">
        <f>MAX(E146-D147,0)</f>
        <v/>
      </c>
    </row>
    <row r="148">
      <c r="A148">
        <f>A147+1</f>
        <v/>
      </c>
      <c r="B148" s="10">
        <f>IF(A148&lt;=TermYears*12,Payment,0)</f>
        <v/>
      </c>
      <c r="C148" s="10">
        <f>E147*Rate/100/12</f>
        <v/>
      </c>
      <c r="D148" s="10">
        <f>B148-C148</f>
        <v/>
      </c>
      <c r="E148" s="10">
        <f>MAX(E147-D148,0)</f>
        <v/>
      </c>
    </row>
    <row r="149">
      <c r="A149">
        <f>A148+1</f>
        <v/>
      </c>
      <c r="B149" s="10">
        <f>IF(A149&lt;=TermYears*12,Payment,0)</f>
        <v/>
      </c>
      <c r="C149" s="10">
        <f>E148*Rate/100/12</f>
        <v/>
      </c>
      <c r="D149" s="10">
        <f>B149-C149</f>
        <v/>
      </c>
      <c r="E149" s="10">
        <f>MAX(E148-D149,0)</f>
        <v/>
      </c>
    </row>
    <row r="150">
      <c r="A150">
        <f>A149+1</f>
        <v/>
      </c>
      <c r="B150" s="10">
        <f>IF(A150&lt;=TermYears*12,Payment,0)</f>
        <v/>
      </c>
      <c r="C150" s="10">
        <f>E149*Rate/100/12</f>
        <v/>
      </c>
      <c r="D150" s="10">
        <f>B150-C150</f>
        <v/>
      </c>
      <c r="E150" s="10">
        <f>MAX(E149-D150,0)</f>
        <v/>
      </c>
    </row>
    <row r="151">
      <c r="A151">
        <f>A150+1</f>
        <v/>
      </c>
      <c r="B151" s="10">
        <f>IF(A151&lt;=TermYears*12,Payment,0)</f>
        <v/>
      </c>
      <c r="C151" s="10">
        <f>E150*Rate/100/12</f>
        <v/>
      </c>
      <c r="D151" s="10">
        <f>B151-C151</f>
        <v/>
      </c>
      <c r="E151" s="10">
        <f>MAX(E150-D151,0)</f>
        <v/>
      </c>
    </row>
    <row r="152">
      <c r="A152">
        <f>A151+1</f>
        <v/>
      </c>
      <c r="B152" s="10">
        <f>IF(A152&lt;=TermYears*12,Payment,0)</f>
        <v/>
      </c>
      <c r="C152" s="10">
        <f>E151*Rate/100/12</f>
        <v/>
      </c>
      <c r="D152" s="10">
        <f>B152-C152</f>
        <v/>
      </c>
      <c r="E152" s="10">
        <f>MAX(E151-D152,0)</f>
        <v/>
      </c>
    </row>
    <row r="153">
      <c r="A153">
        <f>A152+1</f>
        <v/>
      </c>
      <c r="B153" s="10">
        <f>IF(A153&lt;=TermYears*12,Payment,0)</f>
        <v/>
      </c>
      <c r="C153" s="10">
        <f>E152*Rate/100/12</f>
        <v/>
      </c>
      <c r="D153" s="10">
        <f>B153-C153</f>
        <v/>
      </c>
      <c r="E153" s="10">
        <f>MAX(E152-D153,0)</f>
        <v/>
      </c>
    </row>
    <row r="154">
      <c r="A154">
        <f>A153+1</f>
        <v/>
      </c>
      <c r="B154" s="10">
        <f>IF(A154&lt;=TermYears*12,Payment,0)</f>
        <v/>
      </c>
      <c r="C154" s="10">
        <f>E153*Rate/100/12</f>
        <v/>
      </c>
      <c r="D154" s="10">
        <f>B154-C154</f>
        <v/>
      </c>
      <c r="E154" s="10">
        <f>MAX(E153-D154,0)</f>
        <v/>
      </c>
    </row>
    <row r="155">
      <c r="A155">
        <f>A154+1</f>
        <v/>
      </c>
      <c r="B155" s="10">
        <f>IF(A155&lt;=TermYears*12,Payment,0)</f>
        <v/>
      </c>
      <c r="C155" s="10">
        <f>E154*Rate/100/12</f>
        <v/>
      </c>
      <c r="D155" s="10">
        <f>B155-C155</f>
        <v/>
      </c>
      <c r="E155" s="10">
        <f>MAX(E154-D155,0)</f>
        <v/>
      </c>
    </row>
    <row r="156">
      <c r="A156">
        <f>A155+1</f>
        <v/>
      </c>
      <c r="B156" s="10">
        <f>IF(A156&lt;=TermYears*12,Payment,0)</f>
        <v/>
      </c>
      <c r="C156" s="10">
        <f>E155*Rate/100/12</f>
        <v/>
      </c>
      <c r="D156" s="10">
        <f>B156-C156</f>
        <v/>
      </c>
      <c r="E156" s="10">
        <f>MAX(E155-D156,0)</f>
        <v/>
      </c>
    </row>
    <row r="157">
      <c r="A157">
        <f>A156+1</f>
        <v/>
      </c>
      <c r="B157" s="10">
        <f>IF(A157&lt;=TermYears*12,Payment,0)</f>
        <v/>
      </c>
      <c r="C157" s="10">
        <f>E156*Rate/100/12</f>
        <v/>
      </c>
      <c r="D157" s="10">
        <f>B157-C157</f>
        <v/>
      </c>
      <c r="E157" s="10">
        <f>MAX(E156-D157,0)</f>
        <v/>
      </c>
    </row>
    <row r="158">
      <c r="A158">
        <f>A157+1</f>
        <v/>
      </c>
      <c r="B158" s="10">
        <f>IF(A158&lt;=TermYears*12,Payment,0)</f>
        <v/>
      </c>
      <c r="C158" s="10">
        <f>E157*Rate/100/12</f>
        <v/>
      </c>
      <c r="D158" s="10">
        <f>B158-C158</f>
        <v/>
      </c>
      <c r="E158" s="10">
        <f>MAX(E157-D158,0)</f>
        <v/>
      </c>
    </row>
    <row r="159">
      <c r="A159">
        <f>A158+1</f>
        <v/>
      </c>
      <c r="B159" s="10">
        <f>IF(A159&lt;=TermYears*12,Payment,0)</f>
        <v/>
      </c>
      <c r="C159" s="10">
        <f>E158*Rate/100/12</f>
        <v/>
      </c>
      <c r="D159" s="10">
        <f>B159-C159</f>
        <v/>
      </c>
      <c r="E159" s="10">
        <f>MAX(E158-D159,0)</f>
        <v/>
      </c>
    </row>
    <row r="160">
      <c r="A160">
        <f>A159+1</f>
        <v/>
      </c>
      <c r="B160" s="10">
        <f>IF(A160&lt;=TermYears*12,Payment,0)</f>
        <v/>
      </c>
      <c r="C160" s="10">
        <f>E159*Rate/100/12</f>
        <v/>
      </c>
      <c r="D160" s="10">
        <f>B160-C160</f>
        <v/>
      </c>
      <c r="E160" s="10">
        <f>MAX(E159-D160,0)</f>
        <v/>
      </c>
    </row>
    <row r="161">
      <c r="A161">
        <f>A160+1</f>
        <v/>
      </c>
      <c r="B161" s="10">
        <f>IF(A161&lt;=TermYears*12,Payment,0)</f>
        <v/>
      </c>
      <c r="C161" s="10">
        <f>E160*Rate/100/12</f>
        <v/>
      </c>
      <c r="D161" s="10">
        <f>B161-C161</f>
        <v/>
      </c>
      <c r="E161" s="10">
        <f>MAX(E160-D161,0)</f>
        <v/>
      </c>
    </row>
    <row r="162">
      <c r="A162">
        <f>A161+1</f>
        <v/>
      </c>
      <c r="B162" s="10">
        <f>IF(A162&lt;=TermYears*12,Payment,0)</f>
        <v/>
      </c>
      <c r="C162" s="10">
        <f>E161*Rate/100/12</f>
        <v/>
      </c>
      <c r="D162" s="10">
        <f>B162-C162</f>
        <v/>
      </c>
      <c r="E162" s="10">
        <f>MAX(E161-D162,0)</f>
        <v/>
      </c>
    </row>
    <row r="163">
      <c r="A163">
        <f>A162+1</f>
        <v/>
      </c>
      <c r="B163" s="10">
        <f>IF(A163&lt;=TermYears*12,Payment,0)</f>
        <v/>
      </c>
      <c r="C163" s="10">
        <f>E162*Rate/100/12</f>
        <v/>
      </c>
      <c r="D163" s="10">
        <f>B163-C163</f>
        <v/>
      </c>
      <c r="E163" s="10">
        <f>MAX(E162-D163,0)</f>
        <v/>
      </c>
    </row>
    <row r="164">
      <c r="A164">
        <f>A163+1</f>
        <v/>
      </c>
      <c r="B164" s="10">
        <f>IF(A164&lt;=TermYears*12,Payment,0)</f>
        <v/>
      </c>
      <c r="C164" s="10">
        <f>E163*Rate/100/12</f>
        <v/>
      </c>
      <c r="D164" s="10">
        <f>B164-C164</f>
        <v/>
      </c>
      <c r="E164" s="10">
        <f>MAX(E163-D164,0)</f>
        <v/>
      </c>
    </row>
    <row r="165">
      <c r="A165">
        <f>A164+1</f>
        <v/>
      </c>
      <c r="B165" s="10">
        <f>IF(A165&lt;=TermYears*12,Payment,0)</f>
        <v/>
      </c>
      <c r="C165" s="10">
        <f>E164*Rate/100/12</f>
        <v/>
      </c>
      <c r="D165" s="10">
        <f>B165-C165</f>
        <v/>
      </c>
      <c r="E165" s="10">
        <f>MAX(E164-D165,0)</f>
        <v/>
      </c>
    </row>
    <row r="166">
      <c r="A166">
        <f>A165+1</f>
        <v/>
      </c>
      <c r="B166" s="10">
        <f>IF(A166&lt;=TermYears*12,Payment,0)</f>
        <v/>
      </c>
      <c r="C166" s="10">
        <f>E165*Rate/100/12</f>
        <v/>
      </c>
      <c r="D166" s="10">
        <f>B166-C166</f>
        <v/>
      </c>
      <c r="E166" s="10">
        <f>MAX(E165-D166,0)</f>
        <v/>
      </c>
    </row>
    <row r="167">
      <c r="A167">
        <f>A166+1</f>
        <v/>
      </c>
      <c r="B167" s="10">
        <f>IF(A167&lt;=TermYears*12,Payment,0)</f>
        <v/>
      </c>
      <c r="C167" s="10">
        <f>E166*Rate/100/12</f>
        <v/>
      </c>
      <c r="D167" s="10">
        <f>B167-C167</f>
        <v/>
      </c>
      <c r="E167" s="10">
        <f>MAX(E166-D167,0)</f>
        <v/>
      </c>
    </row>
    <row r="168">
      <c r="A168">
        <f>A167+1</f>
        <v/>
      </c>
      <c r="B168" s="10">
        <f>IF(A168&lt;=TermYears*12,Payment,0)</f>
        <v/>
      </c>
      <c r="C168" s="10">
        <f>E167*Rate/100/12</f>
        <v/>
      </c>
      <c r="D168" s="10">
        <f>B168-C168</f>
        <v/>
      </c>
      <c r="E168" s="10">
        <f>MAX(E167-D168,0)</f>
        <v/>
      </c>
    </row>
    <row r="169">
      <c r="A169">
        <f>A168+1</f>
        <v/>
      </c>
      <c r="B169" s="10">
        <f>IF(A169&lt;=TermYears*12,Payment,0)</f>
        <v/>
      </c>
      <c r="C169" s="10">
        <f>E168*Rate/100/12</f>
        <v/>
      </c>
      <c r="D169" s="10">
        <f>B169-C169</f>
        <v/>
      </c>
      <c r="E169" s="10">
        <f>MAX(E168-D169,0)</f>
        <v/>
      </c>
    </row>
    <row r="170">
      <c r="A170">
        <f>A169+1</f>
        <v/>
      </c>
      <c r="B170" s="10">
        <f>IF(A170&lt;=TermYears*12,Payment,0)</f>
        <v/>
      </c>
      <c r="C170" s="10">
        <f>E169*Rate/100/12</f>
        <v/>
      </c>
      <c r="D170" s="10">
        <f>B170-C170</f>
        <v/>
      </c>
      <c r="E170" s="10">
        <f>MAX(E169-D170,0)</f>
        <v/>
      </c>
    </row>
    <row r="171">
      <c r="A171">
        <f>A170+1</f>
        <v/>
      </c>
      <c r="B171" s="10">
        <f>IF(A171&lt;=TermYears*12,Payment,0)</f>
        <v/>
      </c>
      <c r="C171" s="10">
        <f>E170*Rate/100/12</f>
        <v/>
      </c>
      <c r="D171" s="10">
        <f>B171-C171</f>
        <v/>
      </c>
      <c r="E171" s="10">
        <f>MAX(E170-D171,0)</f>
        <v/>
      </c>
    </row>
    <row r="172">
      <c r="A172">
        <f>A171+1</f>
        <v/>
      </c>
      <c r="B172" s="10">
        <f>IF(A172&lt;=TermYears*12,Payment,0)</f>
        <v/>
      </c>
      <c r="C172" s="10">
        <f>E171*Rate/100/12</f>
        <v/>
      </c>
      <c r="D172" s="10">
        <f>B172-C172</f>
        <v/>
      </c>
      <c r="E172" s="10">
        <f>MAX(E171-D172,0)</f>
        <v/>
      </c>
    </row>
    <row r="173">
      <c r="A173">
        <f>A172+1</f>
        <v/>
      </c>
      <c r="B173" s="10">
        <f>IF(A173&lt;=TermYears*12,Payment,0)</f>
        <v/>
      </c>
      <c r="C173" s="10">
        <f>E172*Rate/100/12</f>
        <v/>
      </c>
      <c r="D173" s="10">
        <f>B173-C173</f>
        <v/>
      </c>
      <c r="E173" s="10">
        <f>MAX(E172-D173,0)</f>
        <v/>
      </c>
    </row>
    <row r="174">
      <c r="A174">
        <f>A173+1</f>
        <v/>
      </c>
      <c r="B174" s="10">
        <f>IF(A174&lt;=TermYears*12,Payment,0)</f>
        <v/>
      </c>
      <c r="C174" s="10">
        <f>E173*Rate/100/12</f>
        <v/>
      </c>
      <c r="D174" s="10">
        <f>B174-C174</f>
        <v/>
      </c>
      <c r="E174" s="10">
        <f>MAX(E173-D174,0)</f>
        <v/>
      </c>
    </row>
    <row r="175">
      <c r="A175">
        <f>A174+1</f>
        <v/>
      </c>
      <c r="B175" s="10">
        <f>IF(A175&lt;=TermYears*12,Payment,0)</f>
        <v/>
      </c>
      <c r="C175" s="10">
        <f>E174*Rate/100/12</f>
        <v/>
      </c>
      <c r="D175" s="10">
        <f>B175-C175</f>
        <v/>
      </c>
      <c r="E175" s="10">
        <f>MAX(E174-D175,0)</f>
        <v/>
      </c>
    </row>
    <row r="176">
      <c r="A176">
        <f>A175+1</f>
        <v/>
      </c>
      <c r="B176" s="10">
        <f>IF(A176&lt;=TermYears*12,Payment,0)</f>
        <v/>
      </c>
      <c r="C176" s="10">
        <f>E175*Rate/100/12</f>
        <v/>
      </c>
      <c r="D176" s="10">
        <f>B176-C176</f>
        <v/>
      </c>
      <c r="E176" s="10">
        <f>MAX(E175-D176,0)</f>
        <v/>
      </c>
    </row>
    <row r="177">
      <c r="A177">
        <f>A176+1</f>
        <v/>
      </c>
      <c r="B177" s="10">
        <f>IF(A177&lt;=TermYears*12,Payment,0)</f>
        <v/>
      </c>
      <c r="C177" s="10">
        <f>E176*Rate/100/12</f>
        <v/>
      </c>
      <c r="D177" s="10">
        <f>B177-C177</f>
        <v/>
      </c>
      <c r="E177" s="10">
        <f>MAX(E176-D177,0)</f>
        <v/>
      </c>
    </row>
    <row r="178">
      <c r="A178">
        <f>A177+1</f>
        <v/>
      </c>
      <c r="B178" s="10">
        <f>IF(A178&lt;=TermYears*12,Payment,0)</f>
        <v/>
      </c>
      <c r="C178" s="10">
        <f>E177*Rate/100/12</f>
        <v/>
      </c>
      <c r="D178" s="10">
        <f>B178-C178</f>
        <v/>
      </c>
      <c r="E178" s="10">
        <f>MAX(E177-D178,0)</f>
        <v/>
      </c>
    </row>
    <row r="179">
      <c r="A179">
        <f>A178+1</f>
        <v/>
      </c>
      <c r="B179" s="10">
        <f>IF(A179&lt;=TermYears*12,Payment,0)</f>
        <v/>
      </c>
      <c r="C179" s="10">
        <f>E178*Rate/100/12</f>
        <v/>
      </c>
      <c r="D179" s="10">
        <f>B179-C179</f>
        <v/>
      </c>
      <c r="E179" s="10">
        <f>MAX(E178-D179,0)</f>
        <v/>
      </c>
    </row>
    <row r="180">
      <c r="A180">
        <f>A179+1</f>
        <v/>
      </c>
      <c r="B180" s="10">
        <f>IF(A180&lt;=TermYears*12,Payment,0)</f>
        <v/>
      </c>
      <c r="C180" s="10">
        <f>E179*Rate/100/12</f>
        <v/>
      </c>
      <c r="D180" s="10">
        <f>B180-C180</f>
        <v/>
      </c>
      <c r="E180" s="10">
        <f>MAX(E179-D180,0)</f>
        <v/>
      </c>
    </row>
    <row r="181">
      <c r="A181">
        <f>A180+1</f>
        <v/>
      </c>
      <c r="B181" s="10">
        <f>IF(A181&lt;=TermYears*12,Payment,0)</f>
        <v/>
      </c>
      <c r="C181" s="10">
        <f>E180*Rate/100/12</f>
        <v/>
      </c>
      <c r="D181" s="10">
        <f>B181-C181</f>
        <v/>
      </c>
      <c r="E181" s="10">
        <f>MAX(E180-D181,0)</f>
        <v/>
      </c>
    </row>
    <row r="182">
      <c r="A182">
        <f>A181+1</f>
        <v/>
      </c>
      <c r="B182" s="10">
        <f>IF(A182&lt;=TermYears*12,Payment,0)</f>
        <v/>
      </c>
      <c r="C182" s="10">
        <f>E181*Rate/100/12</f>
        <v/>
      </c>
      <c r="D182" s="10">
        <f>B182-C182</f>
        <v/>
      </c>
      <c r="E182" s="10">
        <f>MAX(E181-D182,0)</f>
        <v/>
      </c>
    </row>
    <row r="183">
      <c r="A183">
        <f>A182+1</f>
        <v/>
      </c>
      <c r="B183" s="10">
        <f>IF(A183&lt;=TermYears*12,Payment,0)</f>
        <v/>
      </c>
      <c r="C183" s="10">
        <f>E182*Rate/100/12</f>
        <v/>
      </c>
      <c r="D183" s="10">
        <f>B183-C183</f>
        <v/>
      </c>
      <c r="E183" s="10">
        <f>MAX(E182-D183,0)</f>
        <v/>
      </c>
    </row>
    <row r="184">
      <c r="A184">
        <f>A183+1</f>
        <v/>
      </c>
      <c r="B184" s="10">
        <f>IF(A184&lt;=TermYears*12,Payment,0)</f>
        <v/>
      </c>
      <c r="C184" s="10">
        <f>E183*Rate/100/12</f>
        <v/>
      </c>
      <c r="D184" s="10">
        <f>B184-C184</f>
        <v/>
      </c>
      <c r="E184" s="10">
        <f>MAX(E183-D184,0)</f>
        <v/>
      </c>
    </row>
    <row r="185">
      <c r="A185">
        <f>A184+1</f>
        <v/>
      </c>
      <c r="B185" s="10">
        <f>IF(A185&lt;=TermYears*12,Payment,0)</f>
        <v/>
      </c>
      <c r="C185" s="10">
        <f>E184*Rate/100/12</f>
        <v/>
      </c>
      <c r="D185" s="10">
        <f>B185-C185</f>
        <v/>
      </c>
      <c r="E185" s="10">
        <f>MAX(E184-D185,0)</f>
        <v/>
      </c>
    </row>
    <row r="186">
      <c r="A186">
        <f>A185+1</f>
        <v/>
      </c>
      <c r="B186" s="10">
        <f>IF(A186&lt;=TermYears*12,Payment,0)</f>
        <v/>
      </c>
      <c r="C186" s="10">
        <f>E185*Rate/100/12</f>
        <v/>
      </c>
      <c r="D186" s="10">
        <f>B186-C186</f>
        <v/>
      </c>
      <c r="E186" s="10">
        <f>MAX(E185-D186,0)</f>
        <v/>
      </c>
    </row>
    <row r="187">
      <c r="A187">
        <f>A186+1</f>
        <v/>
      </c>
      <c r="B187" s="10">
        <f>IF(A187&lt;=TermYears*12,Payment,0)</f>
        <v/>
      </c>
      <c r="C187" s="10">
        <f>E186*Rate/100/12</f>
        <v/>
      </c>
      <c r="D187" s="10">
        <f>B187-C187</f>
        <v/>
      </c>
      <c r="E187" s="10">
        <f>MAX(E186-D187,0)</f>
        <v/>
      </c>
    </row>
    <row r="188">
      <c r="A188">
        <f>A187+1</f>
        <v/>
      </c>
      <c r="B188" s="10">
        <f>IF(A188&lt;=TermYears*12,Payment,0)</f>
        <v/>
      </c>
      <c r="C188" s="10">
        <f>E187*Rate/100/12</f>
        <v/>
      </c>
      <c r="D188" s="10">
        <f>B188-C188</f>
        <v/>
      </c>
      <c r="E188" s="10">
        <f>MAX(E187-D188,0)</f>
        <v/>
      </c>
    </row>
    <row r="189">
      <c r="A189">
        <f>A188+1</f>
        <v/>
      </c>
      <c r="B189" s="10">
        <f>IF(A189&lt;=TermYears*12,Payment,0)</f>
        <v/>
      </c>
      <c r="C189" s="10">
        <f>E188*Rate/100/12</f>
        <v/>
      </c>
      <c r="D189" s="10">
        <f>B189-C189</f>
        <v/>
      </c>
      <c r="E189" s="10">
        <f>MAX(E188-D189,0)</f>
        <v/>
      </c>
    </row>
    <row r="190">
      <c r="A190">
        <f>A189+1</f>
        <v/>
      </c>
      <c r="B190" s="10">
        <f>IF(A190&lt;=TermYears*12,Payment,0)</f>
        <v/>
      </c>
      <c r="C190" s="10">
        <f>E189*Rate/100/12</f>
        <v/>
      </c>
      <c r="D190" s="10">
        <f>B190-C190</f>
        <v/>
      </c>
      <c r="E190" s="10">
        <f>MAX(E189-D190,0)</f>
        <v/>
      </c>
    </row>
    <row r="191">
      <c r="A191">
        <f>A190+1</f>
        <v/>
      </c>
      <c r="B191" s="10">
        <f>IF(A191&lt;=TermYears*12,Payment,0)</f>
        <v/>
      </c>
      <c r="C191" s="10">
        <f>E190*Rate/100/12</f>
        <v/>
      </c>
      <c r="D191" s="10">
        <f>B191-C191</f>
        <v/>
      </c>
      <c r="E191" s="10">
        <f>MAX(E190-D191,0)</f>
        <v/>
      </c>
    </row>
    <row r="192">
      <c r="A192">
        <f>A191+1</f>
        <v/>
      </c>
      <c r="B192" s="10">
        <f>IF(A192&lt;=TermYears*12,Payment,0)</f>
        <v/>
      </c>
      <c r="C192" s="10">
        <f>E191*Rate/100/12</f>
        <v/>
      </c>
      <c r="D192" s="10">
        <f>B192-C192</f>
        <v/>
      </c>
      <c r="E192" s="10">
        <f>MAX(E191-D192,0)</f>
        <v/>
      </c>
    </row>
    <row r="193">
      <c r="A193">
        <f>A192+1</f>
        <v/>
      </c>
      <c r="B193" s="10">
        <f>IF(A193&lt;=TermYears*12,Payment,0)</f>
        <v/>
      </c>
      <c r="C193" s="10">
        <f>E192*Rate/100/12</f>
        <v/>
      </c>
      <c r="D193" s="10">
        <f>B193-C193</f>
        <v/>
      </c>
      <c r="E193" s="10">
        <f>MAX(E192-D193,0)</f>
        <v/>
      </c>
    </row>
    <row r="194">
      <c r="A194">
        <f>A193+1</f>
        <v/>
      </c>
      <c r="B194" s="10">
        <f>IF(A194&lt;=TermYears*12,Payment,0)</f>
        <v/>
      </c>
      <c r="C194" s="10">
        <f>E193*Rate/100/12</f>
        <v/>
      </c>
      <c r="D194" s="10">
        <f>B194-C194</f>
        <v/>
      </c>
      <c r="E194" s="10">
        <f>MAX(E193-D194,0)</f>
        <v/>
      </c>
    </row>
    <row r="195">
      <c r="A195">
        <f>A194+1</f>
        <v/>
      </c>
      <c r="B195" s="10">
        <f>IF(A195&lt;=TermYears*12,Payment,0)</f>
        <v/>
      </c>
      <c r="C195" s="10">
        <f>E194*Rate/100/12</f>
        <v/>
      </c>
      <c r="D195" s="10">
        <f>B195-C195</f>
        <v/>
      </c>
      <c r="E195" s="10">
        <f>MAX(E194-D195,0)</f>
        <v/>
      </c>
    </row>
    <row r="196">
      <c r="A196">
        <f>A195+1</f>
        <v/>
      </c>
      <c r="B196" s="10">
        <f>IF(A196&lt;=TermYears*12,Payment,0)</f>
        <v/>
      </c>
      <c r="C196" s="10">
        <f>E195*Rate/100/12</f>
        <v/>
      </c>
      <c r="D196" s="10">
        <f>B196-C196</f>
        <v/>
      </c>
      <c r="E196" s="10">
        <f>MAX(E195-D196,0)</f>
        <v/>
      </c>
    </row>
    <row r="197">
      <c r="A197">
        <f>A196+1</f>
        <v/>
      </c>
      <c r="B197" s="10">
        <f>IF(A197&lt;=TermYears*12,Payment,0)</f>
        <v/>
      </c>
      <c r="C197" s="10">
        <f>E196*Rate/100/12</f>
        <v/>
      </c>
      <c r="D197" s="10">
        <f>B197-C197</f>
        <v/>
      </c>
      <c r="E197" s="10">
        <f>MAX(E196-D197,0)</f>
        <v/>
      </c>
    </row>
    <row r="198">
      <c r="A198">
        <f>A197+1</f>
        <v/>
      </c>
      <c r="B198" s="10">
        <f>IF(A198&lt;=TermYears*12,Payment,0)</f>
        <v/>
      </c>
      <c r="C198" s="10">
        <f>E197*Rate/100/12</f>
        <v/>
      </c>
      <c r="D198" s="10">
        <f>B198-C198</f>
        <v/>
      </c>
      <c r="E198" s="10">
        <f>MAX(E197-D198,0)</f>
        <v/>
      </c>
    </row>
    <row r="199">
      <c r="A199">
        <f>A198+1</f>
        <v/>
      </c>
      <c r="B199" s="10">
        <f>IF(A199&lt;=TermYears*12,Payment,0)</f>
        <v/>
      </c>
      <c r="C199" s="10">
        <f>E198*Rate/100/12</f>
        <v/>
      </c>
      <c r="D199" s="10">
        <f>B199-C199</f>
        <v/>
      </c>
      <c r="E199" s="10">
        <f>MAX(E198-D199,0)</f>
        <v/>
      </c>
    </row>
    <row r="200">
      <c r="A200">
        <f>A199+1</f>
        <v/>
      </c>
      <c r="B200" s="10">
        <f>IF(A200&lt;=TermYears*12,Payment,0)</f>
        <v/>
      </c>
      <c r="C200" s="10">
        <f>E199*Rate/100/12</f>
        <v/>
      </c>
      <c r="D200" s="10">
        <f>B200-C200</f>
        <v/>
      </c>
      <c r="E200" s="10">
        <f>MAX(E199-D200,0)</f>
        <v/>
      </c>
    </row>
    <row r="201">
      <c r="A201">
        <f>A200+1</f>
        <v/>
      </c>
      <c r="B201" s="10">
        <f>IF(A201&lt;=TermYears*12,Payment,0)</f>
        <v/>
      </c>
      <c r="C201" s="10">
        <f>E200*Rate/100/12</f>
        <v/>
      </c>
      <c r="D201" s="10">
        <f>B201-C201</f>
        <v/>
      </c>
      <c r="E201" s="10">
        <f>MAX(E200-D201,0)</f>
        <v/>
      </c>
    </row>
    <row r="202">
      <c r="A202">
        <f>A201+1</f>
        <v/>
      </c>
      <c r="B202" s="10">
        <f>IF(A202&lt;=TermYears*12,Payment,0)</f>
        <v/>
      </c>
      <c r="C202" s="10">
        <f>E201*Rate/100/12</f>
        <v/>
      </c>
      <c r="D202" s="10">
        <f>B202-C202</f>
        <v/>
      </c>
      <c r="E202" s="10">
        <f>MAX(E201-D202,0)</f>
        <v/>
      </c>
    </row>
    <row r="203">
      <c r="A203">
        <f>A202+1</f>
        <v/>
      </c>
      <c r="B203" s="10">
        <f>IF(A203&lt;=TermYears*12,Payment,0)</f>
        <v/>
      </c>
      <c r="C203" s="10">
        <f>E202*Rate/100/12</f>
        <v/>
      </c>
      <c r="D203" s="10">
        <f>B203-C203</f>
        <v/>
      </c>
      <c r="E203" s="10">
        <f>MAX(E202-D203,0)</f>
        <v/>
      </c>
    </row>
    <row r="204">
      <c r="A204">
        <f>A203+1</f>
        <v/>
      </c>
      <c r="B204" s="10">
        <f>IF(A204&lt;=TermYears*12,Payment,0)</f>
        <v/>
      </c>
      <c r="C204" s="10">
        <f>E203*Rate/100/12</f>
        <v/>
      </c>
      <c r="D204" s="10">
        <f>B204-C204</f>
        <v/>
      </c>
      <c r="E204" s="10">
        <f>MAX(E203-D204,0)</f>
        <v/>
      </c>
    </row>
    <row r="205">
      <c r="A205">
        <f>A204+1</f>
        <v/>
      </c>
      <c r="B205" s="10">
        <f>IF(A205&lt;=TermYears*12,Payment,0)</f>
        <v/>
      </c>
      <c r="C205" s="10">
        <f>E204*Rate/100/12</f>
        <v/>
      </c>
      <c r="D205" s="10">
        <f>B205-C205</f>
        <v/>
      </c>
      <c r="E205" s="10">
        <f>MAX(E204-D205,0)</f>
        <v/>
      </c>
    </row>
    <row r="206">
      <c r="A206">
        <f>A205+1</f>
        <v/>
      </c>
      <c r="B206" s="10">
        <f>IF(A206&lt;=TermYears*12,Payment,0)</f>
        <v/>
      </c>
      <c r="C206" s="10">
        <f>E205*Rate/100/12</f>
        <v/>
      </c>
      <c r="D206" s="10">
        <f>B206-C206</f>
        <v/>
      </c>
      <c r="E206" s="10">
        <f>MAX(E205-D206,0)</f>
        <v/>
      </c>
    </row>
    <row r="207">
      <c r="A207">
        <f>A206+1</f>
        <v/>
      </c>
      <c r="B207" s="10">
        <f>IF(A207&lt;=TermYears*12,Payment,0)</f>
        <v/>
      </c>
      <c r="C207" s="10">
        <f>E206*Rate/100/12</f>
        <v/>
      </c>
      <c r="D207" s="10">
        <f>B207-C207</f>
        <v/>
      </c>
      <c r="E207" s="10">
        <f>MAX(E206-D207,0)</f>
        <v/>
      </c>
    </row>
    <row r="208">
      <c r="A208">
        <f>A207+1</f>
        <v/>
      </c>
      <c r="B208" s="10">
        <f>IF(A208&lt;=TermYears*12,Payment,0)</f>
        <v/>
      </c>
      <c r="C208" s="10">
        <f>E207*Rate/100/12</f>
        <v/>
      </c>
      <c r="D208" s="10">
        <f>B208-C208</f>
        <v/>
      </c>
      <c r="E208" s="10">
        <f>MAX(E207-D208,0)</f>
        <v/>
      </c>
    </row>
    <row r="209">
      <c r="A209">
        <f>A208+1</f>
        <v/>
      </c>
      <c r="B209" s="10">
        <f>IF(A209&lt;=TermYears*12,Payment,0)</f>
        <v/>
      </c>
      <c r="C209" s="10">
        <f>E208*Rate/100/12</f>
        <v/>
      </c>
      <c r="D209" s="10">
        <f>B209-C209</f>
        <v/>
      </c>
      <c r="E209" s="10">
        <f>MAX(E208-D209,0)</f>
        <v/>
      </c>
    </row>
    <row r="210">
      <c r="A210">
        <f>A209+1</f>
        <v/>
      </c>
      <c r="B210" s="10">
        <f>IF(A210&lt;=TermYears*12,Payment,0)</f>
        <v/>
      </c>
      <c r="C210" s="10">
        <f>E209*Rate/100/12</f>
        <v/>
      </c>
      <c r="D210" s="10">
        <f>B210-C210</f>
        <v/>
      </c>
      <c r="E210" s="10">
        <f>MAX(E209-D210,0)</f>
        <v/>
      </c>
    </row>
    <row r="211">
      <c r="A211">
        <f>A210+1</f>
        <v/>
      </c>
      <c r="B211" s="10">
        <f>IF(A211&lt;=TermYears*12,Payment,0)</f>
        <v/>
      </c>
      <c r="C211" s="10">
        <f>E210*Rate/100/12</f>
        <v/>
      </c>
      <c r="D211" s="10">
        <f>B211-C211</f>
        <v/>
      </c>
      <c r="E211" s="10">
        <f>MAX(E210-D211,0)</f>
        <v/>
      </c>
    </row>
    <row r="212">
      <c r="A212">
        <f>A211+1</f>
        <v/>
      </c>
      <c r="B212" s="10">
        <f>IF(A212&lt;=TermYears*12,Payment,0)</f>
        <v/>
      </c>
      <c r="C212" s="10">
        <f>E211*Rate/100/12</f>
        <v/>
      </c>
      <c r="D212" s="10">
        <f>B212-C212</f>
        <v/>
      </c>
      <c r="E212" s="10">
        <f>MAX(E211-D212,0)</f>
        <v/>
      </c>
    </row>
    <row r="213">
      <c r="A213">
        <f>A212+1</f>
        <v/>
      </c>
      <c r="B213" s="10">
        <f>IF(A213&lt;=TermYears*12,Payment,0)</f>
        <v/>
      </c>
      <c r="C213" s="10">
        <f>E212*Rate/100/12</f>
        <v/>
      </c>
      <c r="D213" s="10">
        <f>B213-C213</f>
        <v/>
      </c>
      <c r="E213" s="10">
        <f>MAX(E212-D213,0)</f>
        <v/>
      </c>
    </row>
    <row r="214">
      <c r="A214">
        <f>A213+1</f>
        <v/>
      </c>
      <c r="B214" s="10">
        <f>IF(A214&lt;=TermYears*12,Payment,0)</f>
        <v/>
      </c>
      <c r="C214" s="10">
        <f>E213*Rate/100/12</f>
        <v/>
      </c>
      <c r="D214" s="10">
        <f>B214-C214</f>
        <v/>
      </c>
      <c r="E214" s="10">
        <f>MAX(E213-D214,0)</f>
        <v/>
      </c>
    </row>
    <row r="215">
      <c r="A215">
        <f>A214+1</f>
        <v/>
      </c>
      <c r="B215" s="10">
        <f>IF(A215&lt;=TermYears*12,Payment,0)</f>
        <v/>
      </c>
      <c r="C215" s="10">
        <f>E214*Rate/100/12</f>
        <v/>
      </c>
      <c r="D215" s="10">
        <f>B215-C215</f>
        <v/>
      </c>
      <c r="E215" s="10">
        <f>MAX(E214-D215,0)</f>
        <v/>
      </c>
    </row>
    <row r="216">
      <c r="A216">
        <f>A215+1</f>
        <v/>
      </c>
      <c r="B216" s="10">
        <f>IF(A216&lt;=TermYears*12,Payment,0)</f>
        <v/>
      </c>
      <c r="C216" s="10">
        <f>E215*Rate/100/12</f>
        <v/>
      </c>
      <c r="D216" s="10">
        <f>B216-C216</f>
        <v/>
      </c>
      <c r="E216" s="10">
        <f>MAX(E215-D216,0)</f>
        <v/>
      </c>
    </row>
    <row r="217">
      <c r="A217">
        <f>A216+1</f>
        <v/>
      </c>
      <c r="B217" s="10">
        <f>IF(A217&lt;=TermYears*12,Payment,0)</f>
        <v/>
      </c>
      <c r="C217" s="10">
        <f>E216*Rate/100/12</f>
        <v/>
      </c>
      <c r="D217" s="10">
        <f>B217-C217</f>
        <v/>
      </c>
      <c r="E217" s="10">
        <f>MAX(E216-D217,0)</f>
        <v/>
      </c>
    </row>
    <row r="218">
      <c r="A218">
        <f>A217+1</f>
        <v/>
      </c>
      <c r="B218" s="10">
        <f>IF(A218&lt;=TermYears*12,Payment,0)</f>
        <v/>
      </c>
      <c r="C218" s="10">
        <f>E217*Rate/100/12</f>
        <v/>
      </c>
      <c r="D218" s="10">
        <f>B218-C218</f>
        <v/>
      </c>
      <c r="E218" s="10">
        <f>MAX(E217-D218,0)</f>
        <v/>
      </c>
    </row>
    <row r="219">
      <c r="A219">
        <f>A218+1</f>
        <v/>
      </c>
      <c r="B219" s="10">
        <f>IF(A219&lt;=TermYears*12,Payment,0)</f>
        <v/>
      </c>
      <c r="C219" s="10">
        <f>E218*Rate/100/12</f>
        <v/>
      </c>
      <c r="D219" s="10">
        <f>B219-C219</f>
        <v/>
      </c>
      <c r="E219" s="10">
        <f>MAX(E218-D219,0)</f>
        <v/>
      </c>
    </row>
    <row r="220">
      <c r="A220">
        <f>A219+1</f>
        <v/>
      </c>
      <c r="B220" s="10">
        <f>IF(A220&lt;=TermYears*12,Payment,0)</f>
        <v/>
      </c>
      <c r="C220" s="10">
        <f>E219*Rate/100/12</f>
        <v/>
      </c>
      <c r="D220" s="10">
        <f>B220-C220</f>
        <v/>
      </c>
      <c r="E220" s="10">
        <f>MAX(E219-D220,0)</f>
        <v/>
      </c>
    </row>
    <row r="221">
      <c r="A221">
        <f>A220+1</f>
        <v/>
      </c>
      <c r="B221" s="10">
        <f>IF(A221&lt;=TermYears*12,Payment,0)</f>
        <v/>
      </c>
      <c r="C221" s="10">
        <f>E220*Rate/100/12</f>
        <v/>
      </c>
      <c r="D221" s="10">
        <f>B221-C221</f>
        <v/>
      </c>
      <c r="E221" s="10">
        <f>MAX(E220-D221,0)</f>
        <v/>
      </c>
    </row>
    <row r="222">
      <c r="A222">
        <f>A221+1</f>
        <v/>
      </c>
      <c r="B222" s="10">
        <f>IF(A222&lt;=TermYears*12,Payment,0)</f>
        <v/>
      </c>
      <c r="C222" s="10">
        <f>E221*Rate/100/12</f>
        <v/>
      </c>
      <c r="D222" s="10">
        <f>B222-C222</f>
        <v/>
      </c>
      <c r="E222" s="10">
        <f>MAX(E221-D222,0)</f>
        <v/>
      </c>
    </row>
    <row r="223">
      <c r="A223">
        <f>A222+1</f>
        <v/>
      </c>
      <c r="B223" s="10">
        <f>IF(A223&lt;=TermYears*12,Payment,0)</f>
        <v/>
      </c>
      <c r="C223" s="10">
        <f>E222*Rate/100/12</f>
        <v/>
      </c>
      <c r="D223" s="10">
        <f>B223-C223</f>
        <v/>
      </c>
      <c r="E223" s="10">
        <f>MAX(E222-D223,0)</f>
        <v/>
      </c>
    </row>
    <row r="224">
      <c r="A224">
        <f>A223+1</f>
        <v/>
      </c>
      <c r="B224" s="10">
        <f>IF(A224&lt;=TermYears*12,Payment,0)</f>
        <v/>
      </c>
      <c r="C224" s="10">
        <f>E223*Rate/100/12</f>
        <v/>
      </c>
      <c r="D224" s="10">
        <f>B224-C224</f>
        <v/>
      </c>
      <c r="E224" s="10">
        <f>MAX(E223-D224,0)</f>
        <v/>
      </c>
    </row>
    <row r="225">
      <c r="A225">
        <f>A224+1</f>
        <v/>
      </c>
      <c r="B225" s="10">
        <f>IF(A225&lt;=TermYears*12,Payment,0)</f>
        <v/>
      </c>
      <c r="C225" s="10">
        <f>E224*Rate/100/12</f>
        <v/>
      </c>
      <c r="D225" s="10">
        <f>B225-C225</f>
        <v/>
      </c>
      <c r="E225" s="10">
        <f>MAX(E224-D225,0)</f>
        <v/>
      </c>
    </row>
    <row r="226">
      <c r="A226">
        <f>A225+1</f>
        <v/>
      </c>
      <c r="B226" s="10">
        <f>IF(A226&lt;=TermYears*12,Payment,0)</f>
        <v/>
      </c>
      <c r="C226" s="10">
        <f>E225*Rate/100/12</f>
        <v/>
      </c>
      <c r="D226" s="10">
        <f>B226-C226</f>
        <v/>
      </c>
      <c r="E226" s="10">
        <f>MAX(E225-D226,0)</f>
        <v/>
      </c>
    </row>
    <row r="227">
      <c r="A227">
        <f>A226+1</f>
        <v/>
      </c>
      <c r="B227" s="10">
        <f>IF(A227&lt;=TermYears*12,Payment,0)</f>
        <v/>
      </c>
      <c r="C227" s="10">
        <f>E226*Rate/100/12</f>
        <v/>
      </c>
      <c r="D227" s="10">
        <f>B227-C227</f>
        <v/>
      </c>
      <c r="E227" s="10">
        <f>MAX(E226-D227,0)</f>
        <v/>
      </c>
    </row>
    <row r="228">
      <c r="A228">
        <f>A227+1</f>
        <v/>
      </c>
      <c r="B228" s="10">
        <f>IF(A228&lt;=TermYears*12,Payment,0)</f>
        <v/>
      </c>
      <c r="C228" s="10">
        <f>E227*Rate/100/12</f>
        <v/>
      </c>
      <c r="D228" s="10">
        <f>B228-C228</f>
        <v/>
      </c>
      <c r="E228" s="10">
        <f>MAX(E227-D228,0)</f>
        <v/>
      </c>
    </row>
    <row r="229">
      <c r="A229">
        <f>A228+1</f>
        <v/>
      </c>
      <c r="B229" s="10">
        <f>IF(A229&lt;=TermYears*12,Payment,0)</f>
        <v/>
      </c>
      <c r="C229" s="10">
        <f>E228*Rate/100/12</f>
        <v/>
      </c>
      <c r="D229" s="10">
        <f>B229-C229</f>
        <v/>
      </c>
      <c r="E229" s="10">
        <f>MAX(E228-D229,0)</f>
        <v/>
      </c>
    </row>
    <row r="230">
      <c r="A230">
        <f>A229+1</f>
        <v/>
      </c>
      <c r="B230" s="10">
        <f>IF(A230&lt;=TermYears*12,Payment,0)</f>
        <v/>
      </c>
      <c r="C230" s="10">
        <f>E229*Rate/100/12</f>
        <v/>
      </c>
      <c r="D230" s="10">
        <f>B230-C230</f>
        <v/>
      </c>
      <c r="E230" s="10">
        <f>MAX(E229-D230,0)</f>
        <v/>
      </c>
    </row>
    <row r="231">
      <c r="A231">
        <f>A230+1</f>
        <v/>
      </c>
      <c r="B231" s="10">
        <f>IF(A231&lt;=TermYears*12,Payment,0)</f>
        <v/>
      </c>
      <c r="C231" s="10">
        <f>E230*Rate/100/12</f>
        <v/>
      </c>
      <c r="D231" s="10">
        <f>B231-C231</f>
        <v/>
      </c>
      <c r="E231" s="10">
        <f>MAX(E230-D231,0)</f>
        <v/>
      </c>
    </row>
    <row r="232">
      <c r="A232">
        <f>A231+1</f>
        <v/>
      </c>
      <c r="B232" s="10">
        <f>IF(A232&lt;=TermYears*12,Payment,0)</f>
        <v/>
      </c>
      <c r="C232" s="10">
        <f>E231*Rate/100/12</f>
        <v/>
      </c>
      <c r="D232" s="10">
        <f>B232-C232</f>
        <v/>
      </c>
      <c r="E232" s="10">
        <f>MAX(E231-D232,0)</f>
        <v/>
      </c>
    </row>
    <row r="233">
      <c r="A233">
        <f>A232+1</f>
        <v/>
      </c>
      <c r="B233" s="10">
        <f>IF(A233&lt;=TermYears*12,Payment,0)</f>
        <v/>
      </c>
      <c r="C233" s="10">
        <f>E232*Rate/100/12</f>
        <v/>
      </c>
      <c r="D233" s="10">
        <f>B233-C233</f>
        <v/>
      </c>
      <c r="E233" s="10">
        <f>MAX(E232-D233,0)</f>
        <v/>
      </c>
    </row>
    <row r="234">
      <c r="A234">
        <f>A233+1</f>
        <v/>
      </c>
      <c r="B234" s="10">
        <f>IF(A234&lt;=TermYears*12,Payment,0)</f>
        <v/>
      </c>
      <c r="C234" s="10">
        <f>E233*Rate/100/12</f>
        <v/>
      </c>
      <c r="D234" s="10">
        <f>B234-C234</f>
        <v/>
      </c>
      <c r="E234" s="10">
        <f>MAX(E233-D234,0)</f>
        <v/>
      </c>
    </row>
    <row r="235">
      <c r="A235">
        <f>A234+1</f>
        <v/>
      </c>
      <c r="B235" s="10">
        <f>IF(A235&lt;=TermYears*12,Payment,0)</f>
        <v/>
      </c>
      <c r="C235" s="10">
        <f>E234*Rate/100/12</f>
        <v/>
      </c>
      <c r="D235" s="10">
        <f>B235-C235</f>
        <v/>
      </c>
      <c r="E235" s="10">
        <f>MAX(E234-D235,0)</f>
        <v/>
      </c>
    </row>
    <row r="236">
      <c r="A236">
        <f>A235+1</f>
        <v/>
      </c>
      <c r="B236" s="10">
        <f>IF(A236&lt;=TermYears*12,Payment,0)</f>
        <v/>
      </c>
      <c r="C236" s="10">
        <f>E235*Rate/100/12</f>
        <v/>
      </c>
      <c r="D236" s="10">
        <f>B236-C236</f>
        <v/>
      </c>
      <c r="E236" s="10">
        <f>MAX(E235-D236,0)</f>
        <v/>
      </c>
    </row>
    <row r="237">
      <c r="A237">
        <f>A236+1</f>
        <v/>
      </c>
      <c r="B237" s="10">
        <f>IF(A237&lt;=TermYears*12,Payment,0)</f>
        <v/>
      </c>
      <c r="C237" s="10">
        <f>E236*Rate/100/12</f>
        <v/>
      </c>
      <c r="D237" s="10">
        <f>B237-C237</f>
        <v/>
      </c>
      <c r="E237" s="10">
        <f>MAX(E236-D237,0)</f>
        <v/>
      </c>
    </row>
    <row r="238">
      <c r="A238">
        <f>A237+1</f>
        <v/>
      </c>
      <c r="B238" s="10">
        <f>IF(A238&lt;=TermYears*12,Payment,0)</f>
        <v/>
      </c>
      <c r="C238" s="10">
        <f>E237*Rate/100/12</f>
        <v/>
      </c>
      <c r="D238" s="10">
        <f>B238-C238</f>
        <v/>
      </c>
      <c r="E238" s="10">
        <f>MAX(E237-D238,0)</f>
        <v/>
      </c>
    </row>
    <row r="239">
      <c r="A239">
        <f>A238+1</f>
        <v/>
      </c>
      <c r="B239" s="10">
        <f>IF(A239&lt;=TermYears*12,Payment,0)</f>
        <v/>
      </c>
      <c r="C239" s="10">
        <f>E238*Rate/100/12</f>
        <v/>
      </c>
      <c r="D239" s="10">
        <f>B239-C239</f>
        <v/>
      </c>
      <c r="E239" s="10">
        <f>MAX(E238-D239,0)</f>
        <v/>
      </c>
    </row>
    <row r="240">
      <c r="A240">
        <f>A239+1</f>
        <v/>
      </c>
      <c r="B240" s="10">
        <f>IF(A240&lt;=TermYears*12,Payment,0)</f>
        <v/>
      </c>
      <c r="C240" s="10">
        <f>E239*Rate/100/12</f>
        <v/>
      </c>
      <c r="D240" s="10">
        <f>B240-C240</f>
        <v/>
      </c>
      <c r="E240" s="10">
        <f>MAX(E239-D240,0)</f>
        <v/>
      </c>
    </row>
    <row r="241">
      <c r="A241">
        <f>A240+1</f>
        <v/>
      </c>
      <c r="B241" s="10">
        <f>IF(A241&lt;=TermYears*12,Payment,0)</f>
        <v/>
      </c>
      <c r="C241" s="10">
        <f>E240*Rate/100/12</f>
        <v/>
      </c>
      <c r="D241" s="10">
        <f>B241-C241</f>
        <v/>
      </c>
      <c r="E241" s="10">
        <f>MAX(E240-D241,0)</f>
        <v/>
      </c>
    </row>
    <row r="242">
      <c r="A242">
        <f>A241+1</f>
        <v/>
      </c>
      <c r="B242" s="10">
        <f>IF(A242&lt;=TermYears*12,Payment,0)</f>
        <v/>
      </c>
      <c r="C242" s="10">
        <f>E241*Rate/100/12</f>
        <v/>
      </c>
      <c r="D242" s="10">
        <f>B242-C242</f>
        <v/>
      </c>
      <c r="E242" s="10">
        <f>MAX(E241-D242,0)</f>
        <v/>
      </c>
    </row>
    <row r="243">
      <c r="A243">
        <f>A242+1</f>
        <v/>
      </c>
      <c r="B243" s="10">
        <f>IF(A243&lt;=TermYears*12,Payment,0)</f>
        <v/>
      </c>
      <c r="C243" s="10">
        <f>E242*Rate/100/12</f>
        <v/>
      </c>
      <c r="D243" s="10">
        <f>B243-C243</f>
        <v/>
      </c>
      <c r="E243" s="10">
        <f>MAX(E242-D243,0)</f>
        <v/>
      </c>
    </row>
    <row r="244">
      <c r="A244">
        <f>A243+1</f>
        <v/>
      </c>
      <c r="B244" s="10">
        <f>IF(A244&lt;=TermYears*12,Payment,0)</f>
        <v/>
      </c>
      <c r="C244" s="10">
        <f>E243*Rate/100/12</f>
        <v/>
      </c>
      <c r="D244" s="10">
        <f>B244-C244</f>
        <v/>
      </c>
      <c r="E244" s="10">
        <f>MAX(E243-D244,0)</f>
        <v/>
      </c>
    </row>
    <row r="245">
      <c r="A245">
        <f>A244+1</f>
        <v/>
      </c>
      <c r="B245" s="10">
        <f>IF(A245&lt;=TermYears*12,Payment,0)</f>
        <v/>
      </c>
      <c r="C245" s="10">
        <f>E244*Rate/100/12</f>
        <v/>
      </c>
      <c r="D245" s="10">
        <f>B245-C245</f>
        <v/>
      </c>
      <c r="E245" s="10">
        <f>MAX(E244-D245,0)</f>
        <v/>
      </c>
    </row>
    <row r="246">
      <c r="A246">
        <f>A245+1</f>
        <v/>
      </c>
      <c r="B246" s="10">
        <f>IF(A246&lt;=TermYears*12,Payment,0)</f>
        <v/>
      </c>
      <c r="C246" s="10">
        <f>E245*Rate/100/12</f>
        <v/>
      </c>
      <c r="D246" s="10">
        <f>B246-C246</f>
        <v/>
      </c>
      <c r="E246" s="10">
        <f>MAX(E245-D246,0)</f>
        <v/>
      </c>
    </row>
    <row r="247">
      <c r="A247">
        <f>A246+1</f>
        <v/>
      </c>
      <c r="B247" s="10">
        <f>IF(A247&lt;=TermYears*12,Payment,0)</f>
        <v/>
      </c>
      <c r="C247" s="10">
        <f>E246*Rate/100/12</f>
        <v/>
      </c>
      <c r="D247" s="10">
        <f>B247-C247</f>
        <v/>
      </c>
      <c r="E247" s="10">
        <f>MAX(E246-D247,0)</f>
        <v/>
      </c>
    </row>
    <row r="248">
      <c r="A248">
        <f>A247+1</f>
        <v/>
      </c>
      <c r="B248" s="10">
        <f>IF(A248&lt;=TermYears*12,Payment,0)</f>
        <v/>
      </c>
      <c r="C248" s="10">
        <f>E247*Rate/100/12</f>
        <v/>
      </c>
      <c r="D248" s="10">
        <f>B248-C248</f>
        <v/>
      </c>
      <c r="E248" s="10">
        <f>MAX(E247-D248,0)</f>
        <v/>
      </c>
    </row>
    <row r="249">
      <c r="A249">
        <f>A248+1</f>
        <v/>
      </c>
      <c r="B249" s="10">
        <f>IF(A249&lt;=TermYears*12,Payment,0)</f>
        <v/>
      </c>
      <c r="C249" s="10">
        <f>E248*Rate/100/12</f>
        <v/>
      </c>
      <c r="D249" s="10">
        <f>B249-C249</f>
        <v/>
      </c>
      <c r="E249" s="10">
        <f>MAX(E248-D249,0)</f>
        <v/>
      </c>
    </row>
    <row r="250">
      <c r="A250">
        <f>A249+1</f>
        <v/>
      </c>
      <c r="B250" s="10">
        <f>IF(A250&lt;=TermYears*12,Payment,0)</f>
        <v/>
      </c>
      <c r="C250" s="10">
        <f>E249*Rate/100/12</f>
        <v/>
      </c>
      <c r="D250" s="10">
        <f>B250-C250</f>
        <v/>
      </c>
      <c r="E250" s="10">
        <f>MAX(E249-D250,0)</f>
        <v/>
      </c>
    </row>
    <row r="251">
      <c r="A251">
        <f>A250+1</f>
        <v/>
      </c>
      <c r="B251" s="10">
        <f>IF(A251&lt;=TermYears*12,Payment,0)</f>
        <v/>
      </c>
      <c r="C251" s="10">
        <f>E250*Rate/100/12</f>
        <v/>
      </c>
      <c r="D251" s="10">
        <f>B251-C251</f>
        <v/>
      </c>
      <c r="E251" s="10">
        <f>MAX(E250-D251,0)</f>
        <v/>
      </c>
    </row>
    <row r="252">
      <c r="A252">
        <f>A251+1</f>
        <v/>
      </c>
      <c r="B252" s="10">
        <f>IF(A252&lt;=TermYears*12,Payment,0)</f>
        <v/>
      </c>
      <c r="C252" s="10">
        <f>E251*Rate/100/12</f>
        <v/>
      </c>
      <c r="D252" s="10">
        <f>B252-C252</f>
        <v/>
      </c>
      <c r="E252" s="10">
        <f>MAX(E251-D252,0)</f>
        <v/>
      </c>
    </row>
    <row r="253">
      <c r="A253">
        <f>A252+1</f>
        <v/>
      </c>
      <c r="B253" s="10">
        <f>IF(A253&lt;=TermYears*12,Payment,0)</f>
        <v/>
      </c>
      <c r="C253" s="10">
        <f>E252*Rate/100/12</f>
        <v/>
      </c>
      <c r="D253" s="10">
        <f>B253-C253</f>
        <v/>
      </c>
      <c r="E253" s="10">
        <f>MAX(E252-D253,0)</f>
        <v/>
      </c>
    </row>
    <row r="254">
      <c r="A254">
        <f>A253+1</f>
        <v/>
      </c>
      <c r="B254" s="10">
        <f>IF(A254&lt;=TermYears*12,Payment,0)</f>
        <v/>
      </c>
      <c r="C254" s="10">
        <f>E253*Rate/100/12</f>
        <v/>
      </c>
      <c r="D254" s="10">
        <f>B254-C254</f>
        <v/>
      </c>
      <c r="E254" s="10">
        <f>MAX(E253-D254,0)</f>
        <v/>
      </c>
    </row>
    <row r="255">
      <c r="A255">
        <f>A254+1</f>
        <v/>
      </c>
      <c r="B255" s="10">
        <f>IF(A255&lt;=TermYears*12,Payment,0)</f>
        <v/>
      </c>
      <c r="C255" s="10">
        <f>E254*Rate/100/12</f>
        <v/>
      </c>
      <c r="D255" s="10">
        <f>B255-C255</f>
        <v/>
      </c>
      <c r="E255" s="10">
        <f>MAX(E254-D255,0)</f>
        <v/>
      </c>
    </row>
    <row r="256">
      <c r="A256">
        <f>A255+1</f>
        <v/>
      </c>
      <c r="B256" s="10">
        <f>IF(A256&lt;=TermYears*12,Payment,0)</f>
        <v/>
      </c>
      <c r="C256" s="10">
        <f>E255*Rate/100/12</f>
        <v/>
      </c>
      <c r="D256" s="10">
        <f>B256-C256</f>
        <v/>
      </c>
      <c r="E256" s="10">
        <f>MAX(E255-D256,0)</f>
        <v/>
      </c>
    </row>
    <row r="257">
      <c r="A257">
        <f>A256+1</f>
        <v/>
      </c>
      <c r="B257" s="10">
        <f>IF(A257&lt;=TermYears*12,Payment,0)</f>
        <v/>
      </c>
      <c r="C257" s="10">
        <f>E256*Rate/100/12</f>
        <v/>
      </c>
      <c r="D257" s="10">
        <f>B257-C257</f>
        <v/>
      </c>
      <c r="E257" s="10">
        <f>MAX(E256-D257,0)</f>
        <v/>
      </c>
    </row>
    <row r="258">
      <c r="A258">
        <f>A257+1</f>
        <v/>
      </c>
      <c r="B258" s="10">
        <f>IF(A258&lt;=TermYears*12,Payment,0)</f>
        <v/>
      </c>
      <c r="C258" s="10">
        <f>E257*Rate/100/12</f>
        <v/>
      </c>
      <c r="D258" s="10">
        <f>B258-C258</f>
        <v/>
      </c>
      <c r="E258" s="10">
        <f>MAX(E257-D258,0)</f>
        <v/>
      </c>
    </row>
    <row r="259">
      <c r="A259">
        <f>A258+1</f>
        <v/>
      </c>
      <c r="B259" s="10">
        <f>IF(A259&lt;=TermYears*12,Payment,0)</f>
        <v/>
      </c>
      <c r="C259" s="10">
        <f>E258*Rate/100/12</f>
        <v/>
      </c>
      <c r="D259" s="10">
        <f>B259-C259</f>
        <v/>
      </c>
      <c r="E259" s="10">
        <f>MAX(E258-D259,0)</f>
        <v/>
      </c>
    </row>
    <row r="260">
      <c r="A260">
        <f>A259+1</f>
        <v/>
      </c>
      <c r="B260" s="10">
        <f>IF(A260&lt;=TermYears*12,Payment,0)</f>
        <v/>
      </c>
      <c r="C260" s="10">
        <f>E259*Rate/100/12</f>
        <v/>
      </c>
      <c r="D260" s="10">
        <f>B260-C260</f>
        <v/>
      </c>
      <c r="E260" s="10">
        <f>MAX(E259-D260,0)</f>
        <v/>
      </c>
    </row>
    <row r="261">
      <c r="A261">
        <f>A260+1</f>
        <v/>
      </c>
      <c r="B261" s="10">
        <f>IF(A261&lt;=TermYears*12,Payment,0)</f>
        <v/>
      </c>
      <c r="C261" s="10">
        <f>E260*Rate/100/12</f>
        <v/>
      </c>
      <c r="D261" s="10">
        <f>B261-C261</f>
        <v/>
      </c>
      <c r="E261" s="10">
        <f>MAX(E260-D261,0)</f>
        <v/>
      </c>
    </row>
    <row r="262">
      <c r="A262">
        <f>A261+1</f>
        <v/>
      </c>
      <c r="B262" s="10">
        <f>IF(A262&lt;=TermYears*12,Payment,0)</f>
        <v/>
      </c>
      <c r="C262" s="10">
        <f>E261*Rate/100/12</f>
        <v/>
      </c>
      <c r="D262" s="10">
        <f>B262-C262</f>
        <v/>
      </c>
      <c r="E262" s="10">
        <f>MAX(E261-D262,0)</f>
        <v/>
      </c>
    </row>
    <row r="263">
      <c r="A263">
        <f>A262+1</f>
        <v/>
      </c>
      <c r="B263" s="10">
        <f>IF(A263&lt;=TermYears*12,Payment,0)</f>
        <v/>
      </c>
      <c r="C263" s="10">
        <f>E262*Rate/100/12</f>
        <v/>
      </c>
      <c r="D263" s="10">
        <f>B263-C263</f>
        <v/>
      </c>
      <c r="E263" s="10">
        <f>MAX(E262-D263,0)</f>
        <v/>
      </c>
    </row>
    <row r="264">
      <c r="A264">
        <f>A263+1</f>
        <v/>
      </c>
      <c r="B264" s="10">
        <f>IF(A264&lt;=TermYears*12,Payment,0)</f>
        <v/>
      </c>
      <c r="C264" s="10">
        <f>E263*Rate/100/12</f>
        <v/>
      </c>
      <c r="D264" s="10">
        <f>B264-C264</f>
        <v/>
      </c>
      <c r="E264" s="10">
        <f>MAX(E263-D264,0)</f>
        <v/>
      </c>
    </row>
    <row r="265">
      <c r="A265">
        <f>A264+1</f>
        <v/>
      </c>
      <c r="B265" s="10">
        <f>IF(A265&lt;=TermYears*12,Payment,0)</f>
        <v/>
      </c>
      <c r="C265" s="10">
        <f>E264*Rate/100/12</f>
        <v/>
      </c>
      <c r="D265" s="10">
        <f>B265-C265</f>
        <v/>
      </c>
      <c r="E265" s="10">
        <f>MAX(E264-D265,0)</f>
        <v/>
      </c>
    </row>
    <row r="266">
      <c r="A266">
        <f>A265+1</f>
        <v/>
      </c>
      <c r="B266" s="10">
        <f>IF(A266&lt;=TermYears*12,Payment,0)</f>
        <v/>
      </c>
      <c r="C266" s="10">
        <f>E265*Rate/100/12</f>
        <v/>
      </c>
      <c r="D266" s="10">
        <f>B266-C266</f>
        <v/>
      </c>
      <c r="E266" s="10">
        <f>MAX(E265-D266,0)</f>
        <v/>
      </c>
    </row>
    <row r="267">
      <c r="A267">
        <f>A266+1</f>
        <v/>
      </c>
      <c r="B267" s="10">
        <f>IF(A267&lt;=TermYears*12,Payment,0)</f>
        <v/>
      </c>
      <c r="C267" s="10">
        <f>E266*Rate/100/12</f>
        <v/>
      </c>
      <c r="D267" s="10">
        <f>B267-C267</f>
        <v/>
      </c>
      <c r="E267" s="10">
        <f>MAX(E266-D267,0)</f>
        <v/>
      </c>
    </row>
    <row r="268">
      <c r="A268">
        <f>A267+1</f>
        <v/>
      </c>
      <c r="B268" s="10">
        <f>IF(A268&lt;=TermYears*12,Payment,0)</f>
        <v/>
      </c>
      <c r="C268" s="10">
        <f>E267*Rate/100/12</f>
        <v/>
      </c>
      <c r="D268" s="10">
        <f>B268-C268</f>
        <v/>
      </c>
      <c r="E268" s="10">
        <f>MAX(E267-D268,0)</f>
        <v/>
      </c>
    </row>
    <row r="269">
      <c r="A269">
        <f>A268+1</f>
        <v/>
      </c>
      <c r="B269" s="10">
        <f>IF(A269&lt;=TermYears*12,Payment,0)</f>
        <v/>
      </c>
      <c r="C269" s="10">
        <f>E268*Rate/100/12</f>
        <v/>
      </c>
      <c r="D269" s="10">
        <f>B269-C269</f>
        <v/>
      </c>
      <c r="E269" s="10">
        <f>MAX(E268-D269,0)</f>
        <v/>
      </c>
    </row>
    <row r="270">
      <c r="A270">
        <f>A269+1</f>
        <v/>
      </c>
      <c r="B270" s="10">
        <f>IF(A270&lt;=TermYears*12,Payment,0)</f>
        <v/>
      </c>
      <c r="C270" s="10">
        <f>E269*Rate/100/12</f>
        <v/>
      </c>
      <c r="D270" s="10">
        <f>B270-C270</f>
        <v/>
      </c>
      <c r="E270" s="10">
        <f>MAX(E269-D270,0)</f>
        <v/>
      </c>
    </row>
    <row r="271">
      <c r="A271">
        <f>A270+1</f>
        <v/>
      </c>
      <c r="B271" s="10">
        <f>IF(A271&lt;=TermYears*12,Payment,0)</f>
        <v/>
      </c>
      <c r="C271" s="10">
        <f>E270*Rate/100/12</f>
        <v/>
      </c>
      <c r="D271" s="10">
        <f>B271-C271</f>
        <v/>
      </c>
      <c r="E271" s="10">
        <f>MAX(E270-D271,0)</f>
        <v/>
      </c>
    </row>
    <row r="272">
      <c r="A272">
        <f>A271+1</f>
        <v/>
      </c>
      <c r="B272" s="10">
        <f>IF(A272&lt;=TermYears*12,Payment,0)</f>
        <v/>
      </c>
      <c r="C272" s="10">
        <f>E271*Rate/100/12</f>
        <v/>
      </c>
      <c r="D272" s="10">
        <f>B272-C272</f>
        <v/>
      </c>
      <c r="E272" s="10">
        <f>MAX(E271-D272,0)</f>
        <v/>
      </c>
    </row>
    <row r="273">
      <c r="A273">
        <f>A272+1</f>
        <v/>
      </c>
      <c r="B273" s="10">
        <f>IF(A273&lt;=TermYears*12,Payment,0)</f>
        <v/>
      </c>
      <c r="C273" s="10">
        <f>E272*Rate/100/12</f>
        <v/>
      </c>
      <c r="D273" s="10">
        <f>B273-C273</f>
        <v/>
      </c>
      <c r="E273" s="10">
        <f>MAX(E272-D273,0)</f>
        <v/>
      </c>
    </row>
    <row r="274">
      <c r="A274">
        <f>A273+1</f>
        <v/>
      </c>
      <c r="B274" s="10">
        <f>IF(A274&lt;=TermYears*12,Payment,0)</f>
        <v/>
      </c>
      <c r="C274" s="10">
        <f>E273*Rate/100/12</f>
        <v/>
      </c>
      <c r="D274" s="10">
        <f>B274-C274</f>
        <v/>
      </c>
      <c r="E274" s="10">
        <f>MAX(E273-D274,0)</f>
        <v/>
      </c>
    </row>
    <row r="275">
      <c r="A275">
        <f>A274+1</f>
        <v/>
      </c>
      <c r="B275" s="10">
        <f>IF(A275&lt;=TermYears*12,Payment,0)</f>
        <v/>
      </c>
      <c r="C275" s="10">
        <f>E274*Rate/100/12</f>
        <v/>
      </c>
      <c r="D275" s="10">
        <f>B275-C275</f>
        <v/>
      </c>
      <c r="E275" s="10">
        <f>MAX(E274-D275,0)</f>
        <v/>
      </c>
    </row>
    <row r="276">
      <c r="A276">
        <f>A275+1</f>
        <v/>
      </c>
      <c r="B276" s="10">
        <f>IF(A276&lt;=TermYears*12,Payment,0)</f>
        <v/>
      </c>
      <c r="C276" s="10">
        <f>E275*Rate/100/12</f>
        <v/>
      </c>
      <c r="D276" s="10">
        <f>B276-C276</f>
        <v/>
      </c>
      <c r="E276" s="10">
        <f>MAX(E275-D276,0)</f>
        <v/>
      </c>
    </row>
    <row r="277">
      <c r="A277">
        <f>A276+1</f>
        <v/>
      </c>
      <c r="B277" s="10">
        <f>IF(A277&lt;=TermYears*12,Payment,0)</f>
        <v/>
      </c>
      <c r="C277" s="10">
        <f>E276*Rate/100/12</f>
        <v/>
      </c>
      <c r="D277" s="10">
        <f>B277-C277</f>
        <v/>
      </c>
      <c r="E277" s="10">
        <f>MAX(E276-D277,0)</f>
        <v/>
      </c>
    </row>
    <row r="278">
      <c r="A278">
        <f>A277+1</f>
        <v/>
      </c>
      <c r="B278" s="10">
        <f>IF(A278&lt;=TermYears*12,Payment,0)</f>
        <v/>
      </c>
      <c r="C278" s="10">
        <f>E277*Rate/100/12</f>
        <v/>
      </c>
      <c r="D278" s="10">
        <f>B278-C278</f>
        <v/>
      </c>
      <c r="E278" s="10">
        <f>MAX(E277-D278,0)</f>
        <v/>
      </c>
    </row>
    <row r="279">
      <c r="A279">
        <f>A278+1</f>
        <v/>
      </c>
      <c r="B279" s="10">
        <f>IF(A279&lt;=TermYears*12,Payment,0)</f>
        <v/>
      </c>
      <c r="C279" s="10">
        <f>E278*Rate/100/12</f>
        <v/>
      </c>
      <c r="D279" s="10">
        <f>B279-C279</f>
        <v/>
      </c>
      <c r="E279" s="10">
        <f>MAX(E278-D279,0)</f>
        <v/>
      </c>
    </row>
    <row r="280">
      <c r="A280">
        <f>A279+1</f>
        <v/>
      </c>
      <c r="B280" s="10">
        <f>IF(A280&lt;=TermYears*12,Payment,0)</f>
        <v/>
      </c>
      <c r="C280" s="10">
        <f>E279*Rate/100/12</f>
        <v/>
      </c>
      <c r="D280" s="10">
        <f>B280-C280</f>
        <v/>
      </c>
      <c r="E280" s="10">
        <f>MAX(E279-D280,0)</f>
        <v/>
      </c>
    </row>
    <row r="281">
      <c r="A281">
        <f>A280+1</f>
        <v/>
      </c>
      <c r="B281" s="10">
        <f>IF(A281&lt;=TermYears*12,Payment,0)</f>
        <v/>
      </c>
      <c r="C281" s="10">
        <f>E280*Rate/100/12</f>
        <v/>
      </c>
      <c r="D281" s="10">
        <f>B281-C281</f>
        <v/>
      </c>
      <c r="E281" s="10">
        <f>MAX(E280-D281,0)</f>
        <v/>
      </c>
    </row>
    <row r="282">
      <c r="A282">
        <f>A281+1</f>
        <v/>
      </c>
      <c r="B282" s="10">
        <f>IF(A282&lt;=TermYears*12,Payment,0)</f>
        <v/>
      </c>
      <c r="C282" s="10">
        <f>E281*Rate/100/12</f>
        <v/>
      </c>
      <c r="D282" s="10">
        <f>B282-C282</f>
        <v/>
      </c>
      <c r="E282" s="10">
        <f>MAX(E281-D282,0)</f>
        <v/>
      </c>
    </row>
    <row r="283">
      <c r="A283">
        <f>A282+1</f>
        <v/>
      </c>
      <c r="B283" s="10">
        <f>IF(A283&lt;=TermYears*12,Payment,0)</f>
        <v/>
      </c>
      <c r="C283" s="10">
        <f>E282*Rate/100/12</f>
        <v/>
      </c>
      <c r="D283" s="10">
        <f>B283-C283</f>
        <v/>
      </c>
      <c r="E283" s="10">
        <f>MAX(E282-D283,0)</f>
        <v/>
      </c>
    </row>
    <row r="284">
      <c r="A284">
        <f>A283+1</f>
        <v/>
      </c>
      <c r="B284" s="10">
        <f>IF(A284&lt;=TermYears*12,Payment,0)</f>
        <v/>
      </c>
      <c r="C284" s="10">
        <f>E283*Rate/100/12</f>
        <v/>
      </c>
      <c r="D284" s="10">
        <f>B284-C284</f>
        <v/>
      </c>
      <c r="E284" s="10">
        <f>MAX(E283-D284,0)</f>
        <v/>
      </c>
    </row>
    <row r="285">
      <c r="A285">
        <f>A284+1</f>
        <v/>
      </c>
      <c r="B285" s="10">
        <f>IF(A285&lt;=TermYears*12,Payment,0)</f>
        <v/>
      </c>
      <c r="C285" s="10">
        <f>E284*Rate/100/12</f>
        <v/>
      </c>
      <c r="D285" s="10">
        <f>B285-C285</f>
        <v/>
      </c>
      <c r="E285" s="10">
        <f>MAX(E284-D285,0)</f>
        <v/>
      </c>
    </row>
    <row r="286">
      <c r="A286">
        <f>A285+1</f>
        <v/>
      </c>
      <c r="B286" s="10">
        <f>IF(A286&lt;=TermYears*12,Payment,0)</f>
        <v/>
      </c>
      <c r="C286" s="10">
        <f>E285*Rate/100/12</f>
        <v/>
      </c>
      <c r="D286" s="10">
        <f>B286-C286</f>
        <v/>
      </c>
      <c r="E286" s="10">
        <f>MAX(E285-D286,0)</f>
        <v/>
      </c>
    </row>
    <row r="287">
      <c r="A287">
        <f>A286+1</f>
        <v/>
      </c>
      <c r="B287" s="10">
        <f>IF(A287&lt;=TermYears*12,Payment,0)</f>
        <v/>
      </c>
      <c r="C287" s="10">
        <f>E286*Rate/100/12</f>
        <v/>
      </c>
      <c r="D287" s="10">
        <f>B287-C287</f>
        <v/>
      </c>
      <c r="E287" s="10">
        <f>MAX(E286-D287,0)</f>
        <v/>
      </c>
    </row>
    <row r="288">
      <c r="A288">
        <f>A287+1</f>
        <v/>
      </c>
      <c r="B288" s="10">
        <f>IF(A288&lt;=TermYears*12,Payment,0)</f>
        <v/>
      </c>
      <c r="C288" s="10">
        <f>E287*Rate/100/12</f>
        <v/>
      </c>
      <c r="D288" s="10">
        <f>B288-C288</f>
        <v/>
      </c>
      <c r="E288" s="10">
        <f>MAX(E287-D288,0)</f>
        <v/>
      </c>
    </row>
    <row r="289">
      <c r="A289">
        <f>A288+1</f>
        <v/>
      </c>
      <c r="B289" s="10">
        <f>IF(A289&lt;=TermYears*12,Payment,0)</f>
        <v/>
      </c>
      <c r="C289" s="10">
        <f>E288*Rate/100/12</f>
        <v/>
      </c>
      <c r="D289" s="10">
        <f>B289-C289</f>
        <v/>
      </c>
      <c r="E289" s="10">
        <f>MAX(E288-D289,0)</f>
        <v/>
      </c>
    </row>
    <row r="290">
      <c r="A290">
        <f>A289+1</f>
        <v/>
      </c>
      <c r="B290" s="10">
        <f>IF(A290&lt;=TermYears*12,Payment,0)</f>
        <v/>
      </c>
      <c r="C290" s="10">
        <f>E289*Rate/100/12</f>
        <v/>
      </c>
      <c r="D290" s="10">
        <f>B290-C290</f>
        <v/>
      </c>
      <c r="E290" s="10">
        <f>MAX(E289-D290,0)</f>
        <v/>
      </c>
    </row>
    <row r="291">
      <c r="A291">
        <f>A290+1</f>
        <v/>
      </c>
      <c r="B291" s="10">
        <f>IF(A291&lt;=TermYears*12,Payment,0)</f>
        <v/>
      </c>
      <c r="C291" s="10">
        <f>E290*Rate/100/12</f>
        <v/>
      </c>
      <c r="D291" s="10">
        <f>B291-C291</f>
        <v/>
      </c>
      <c r="E291" s="10">
        <f>MAX(E290-D291,0)</f>
        <v/>
      </c>
    </row>
    <row r="292">
      <c r="A292">
        <f>A291+1</f>
        <v/>
      </c>
      <c r="B292" s="10">
        <f>IF(A292&lt;=TermYears*12,Payment,0)</f>
        <v/>
      </c>
      <c r="C292" s="10">
        <f>E291*Rate/100/12</f>
        <v/>
      </c>
      <c r="D292" s="10">
        <f>B292-C292</f>
        <v/>
      </c>
      <c r="E292" s="10">
        <f>MAX(E291-D292,0)</f>
        <v/>
      </c>
    </row>
    <row r="293">
      <c r="A293">
        <f>A292+1</f>
        <v/>
      </c>
      <c r="B293" s="10">
        <f>IF(A293&lt;=TermYears*12,Payment,0)</f>
        <v/>
      </c>
      <c r="C293" s="10">
        <f>E292*Rate/100/12</f>
        <v/>
      </c>
      <c r="D293" s="10">
        <f>B293-C293</f>
        <v/>
      </c>
      <c r="E293" s="10">
        <f>MAX(E292-D293,0)</f>
        <v/>
      </c>
    </row>
    <row r="294">
      <c r="A294">
        <f>A293+1</f>
        <v/>
      </c>
      <c r="B294" s="10">
        <f>IF(A294&lt;=TermYears*12,Payment,0)</f>
        <v/>
      </c>
      <c r="C294" s="10">
        <f>E293*Rate/100/12</f>
        <v/>
      </c>
      <c r="D294" s="10">
        <f>B294-C294</f>
        <v/>
      </c>
      <c r="E294" s="10">
        <f>MAX(E293-D294,0)</f>
        <v/>
      </c>
    </row>
    <row r="295">
      <c r="A295">
        <f>A294+1</f>
        <v/>
      </c>
      <c r="B295" s="10">
        <f>IF(A295&lt;=TermYears*12,Payment,0)</f>
        <v/>
      </c>
      <c r="C295" s="10">
        <f>E294*Rate/100/12</f>
        <v/>
      </c>
      <c r="D295" s="10">
        <f>B295-C295</f>
        <v/>
      </c>
      <c r="E295" s="10">
        <f>MAX(E294-D295,0)</f>
        <v/>
      </c>
    </row>
    <row r="296">
      <c r="A296">
        <f>A295+1</f>
        <v/>
      </c>
      <c r="B296" s="10">
        <f>IF(A296&lt;=TermYears*12,Payment,0)</f>
        <v/>
      </c>
      <c r="C296" s="10">
        <f>E295*Rate/100/12</f>
        <v/>
      </c>
      <c r="D296" s="10">
        <f>B296-C296</f>
        <v/>
      </c>
      <c r="E296" s="10">
        <f>MAX(E295-D296,0)</f>
        <v/>
      </c>
    </row>
    <row r="297">
      <c r="A297">
        <f>A296+1</f>
        <v/>
      </c>
      <c r="B297" s="10">
        <f>IF(A297&lt;=TermYears*12,Payment,0)</f>
        <v/>
      </c>
      <c r="C297" s="10">
        <f>E296*Rate/100/12</f>
        <v/>
      </c>
      <c r="D297" s="10">
        <f>B297-C297</f>
        <v/>
      </c>
      <c r="E297" s="10">
        <f>MAX(E296-D297,0)</f>
        <v/>
      </c>
    </row>
    <row r="298">
      <c r="A298">
        <f>A297+1</f>
        <v/>
      </c>
      <c r="B298" s="10">
        <f>IF(A298&lt;=TermYears*12,Payment,0)</f>
        <v/>
      </c>
      <c r="C298" s="10">
        <f>E297*Rate/100/12</f>
        <v/>
      </c>
      <c r="D298" s="10">
        <f>B298-C298</f>
        <v/>
      </c>
      <c r="E298" s="10">
        <f>MAX(E297-D298,0)</f>
        <v/>
      </c>
    </row>
    <row r="299">
      <c r="A299">
        <f>A298+1</f>
        <v/>
      </c>
      <c r="B299" s="10">
        <f>IF(A299&lt;=TermYears*12,Payment,0)</f>
        <v/>
      </c>
      <c r="C299" s="10">
        <f>E298*Rate/100/12</f>
        <v/>
      </c>
      <c r="D299" s="10">
        <f>B299-C299</f>
        <v/>
      </c>
      <c r="E299" s="10">
        <f>MAX(E298-D299,0)</f>
        <v/>
      </c>
    </row>
    <row r="300">
      <c r="A300">
        <f>A299+1</f>
        <v/>
      </c>
      <c r="B300" s="10">
        <f>IF(A300&lt;=TermYears*12,Payment,0)</f>
        <v/>
      </c>
      <c r="C300" s="10">
        <f>E299*Rate/100/12</f>
        <v/>
      </c>
      <c r="D300" s="10">
        <f>B300-C300</f>
        <v/>
      </c>
      <c r="E300" s="10">
        <f>MAX(E299-D300,0)</f>
        <v/>
      </c>
    </row>
    <row r="301">
      <c r="A301">
        <f>A300+1</f>
        <v/>
      </c>
      <c r="B301" s="10">
        <f>IF(A301&lt;=TermYears*12,Payment,0)</f>
        <v/>
      </c>
      <c r="C301" s="10">
        <f>E300*Rate/100/12</f>
        <v/>
      </c>
      <c r="D301" s="10">
        <f>B301-C301</f>
        <v/>
      </c>
      <c r="E301" s="10">
        <f>MAX(E300-D301,0)</f>
        <v/>
      </c>
    </row>
    <row r="302">
      <c r="A302">
        <f>A301+1</f>
        <v/>
      </c>
      <c r="B302" s="10">
        <f>IF(A302&lt;=TermYears*12,Payment,0)</f>
        <v/>
      </c>
      <c r="C302" s="10">
        <f>E301*Rate/100/12</f>
        <v/>
      </c>
      <c r="D302" s="10">
        <f>B302-C302</f>
        <v/>
      </c>
      <c r="E302" s="10">
        <f>MAX(E301-D302,0)</f>
        <v/>
      </c>
    </row>
    <row r="303">
      <c r="A303">
        <f>A302+1</f>
        <v/>
      </c>
      <c r="B303" s="10">
        <f>IF(A303&lt;=TermYears*12,Payment,0)</f>
        <v/>
      </c>
      <c r="C303" s="10">
        <f>E302*Rate/100/12</f>
        <v/>
      </c>
      <c r="D303" s="10">
        <f>B303-C303</f>
        <v/>
      </c>
      <c r="E303" s="10">
        <f>MAX(E302-D303,0)</f>
        <v/>
      </c>
    </row>
    <row r="304">
      <c r="A304">
        <f>A303+1</f>
        <v/>
      </c>
      <c r="B304" s="10">
        <f>IF(A304&lt;=TermYears*12,Payment,0)</f>
        <v/>
      </c>
      <c r="C304" s="10">
        <f>E303*Rate/100/12</f>
        <v/>
      </c>
      <c r="D304" s="10">
        <f>B304-C304</f>
        <v/>
      </c>
      <c r="E304" s="10">
        <f>MAX(E303-D304,0)</f>
        <v/>
      </c>
    </row>
    <row r="305">
      <c r="A305">
        <f>A304+1</f>
        <v/>
      </c>
      <c r="B305" s="10">
        <f>IF(A305&lt;=TermYears*12,Payment,0)</f>
        <v/>
      </c>
      <c r="C305" s="10">
        <f>E304*Rate/100/12</f>
        <v/>
      </c>
      <c r="D305" s="10">
        <f>B305-C305</f>
        <v/>
      </c>
      <c r="E305" s="10">
        <f>MAX(E304-D305,0)</f>
        <v/>
      </c>
    </row>
    <row r="306">
      <c r="A306">
        <f>A305+1</f>
        <v/>
      </c>
      <c r="B306" s="10">
        <f>IF(A306&lt;=TermYears*12,Payment,0)</f>
        <v/>
      </c>
      <c r="C306" s="10">
        <f>E305*Rate/100/12</f>
        <v/>
      </c>
      <c r="D306" s="10">
        <f>B306-C306</f>
        <v/>
      </c>
      <c r="E306" s="10">
        <f>MAX(E305-D306,0)</f>
        <v/>
      </c>
    </row>
    <row r="307">
      <c r="A307">
        <f>A306+1</f>
        <v/>
      </c>
      <c r="B307" s="10">
        <f>IF(A307&lt;=TermYears*12,Payment,0)</f>
        <v/>
      </c>
      <c r="C307" s="10">
        <f>E306*Rate/100/12</f>
        <v/>
      </c>
      <c r="D307" s="10">
        <f>B307-C307</f>
        <v/>
      </c>
      <c r="E307" s="10">
        <f>MAX(E306-D307,0)</f>
        <v/>
      </c>
    </row>
    <row r="308">
      <c r="A308">
        <f>A307+1</f>
        <v/>
      </c>
      <c r="B308" s="10">
        <f>IF(A308&lt;=TermYears*12,Payment,0)</f>
        <v/>
      </c>
      <c r="C308" s="10">
        <f>E307*Rate/100/12</f>
        <v/>
      </c>
      <c r="D308" s="10">
        <f>B308-C308</f>
        <v/>
      </c>
      <c r="E308" s="10">
        <f>MAX(E307-D308,0)</f>
        <v/>
      </c>
    </row>
    <row r="309">
      <c r="A309">
        <f>A308+1</f>
        <v/>
      </c>
      <c r="B309" s="10">
        <f>IF(A309&lt;=TermYears*12,Payment,0)</f>
        <v/>
      </c>
      <c r="C309" s="10">
        <f>E308*Rate/100/12</f>
        <v/>
      </c>
      <c r="D309" s="10">
        <f>B309-C309</f>
        <v/>
      </c>
      <c r="E309" s="10">
        <f>MAX(E308-D309,0)</f>
        <v/>
      </c>
    </row>
    <row r="310">
      <c r="A310">
        <f>A309+1</f>
        <v/>
      </c>
      <c r="B310" s="10">
        <f>IF(A310&lt;=TermYears*12,Payment,0)</f>
        <v/>
      </c>
      <c r="C310" s="10">
        <f>E309*Rate/100/12</f>
        <v/>
      </c>
      <c r="D310" s="10">
        <f>B310-C310</f>
        <v/>
      </c>
      <c r="E310" s="10">
        <f>MAX(E309-D310,0)</f>
        <v/>
      </c>
    </row>
    <row r="311">
      <c r="A311">
        <f>A310+1</f>
        <v/>
      </c>
      <c r="B311" s="10">
        <f>IF(A311&lt;=TermYears*12,Payment,0)</f>
        <v/>
      </c>
      <c r="C311" s="10">
        <f>E310*Rate/100/12</f>
        <v/>
      </c>
      <c r="D311" s="10">
        <f>B311-C311</f>
        <v/>
      </c>
      <c r="E311" s="10">
        <f>MAX(E310-D311,0)</f>
        <v/>
      </c>
    </row>
    <row r="312">
      <c r="A312">
        <f>A311+1</f>
        <v/>
      </c>
      <c r="B312" s="10">
        <f>IF(A312&lt;=TermYears*12,Payment,0)</f>
        <v/>
      </c>
      <c r="C312" s="10">
        <f>E311*Rate/100/12</f>
        <v/>
      </c>
      <c r="D312" s="10">
        <f>B312-C312</f>
        <v/>
      </c>
      <c r="E312" s="10">
        <f>MAX(E311-D312,0)</f>
        <v/>
      </c>
    </row>
    <row r="313">
      <c r="A313">
        <f>A312+1</f>
        <v/>
      </c>
      <c r="B313" s="10">
        <f>IF(A313&lt;=TermYears*12,Payment,0)</f>
        <v/>
      </c>
      <c r="C313" s="10">
        <f>E312*Rate/100/12</f>
        <v/>
      </c>
      <c r="D313" s="10">
        <f>B313-C313</f>
        <v/>
      </c>
      <c r="E313" s="10">
        <f>MAX(E312-D313,0)</f>
        <v/>
      </c>
    </row>
    <row r="314">
      <c r="A314">
        <f>A313+1</f>
        <v/>
      </c>
      <c r="B314" s="10">
        <f>IF(A314&lt;=TermYears*12,Payment,0)</f>
        <v/>
      </c>
      <c r="C314" s="10">
        <f>E313*Rate/100/12</f>
        <v/>
      </c>
      <c r="D314" s="10">
        <f>B314-C314</f>
        <v/>
      </c>
      <c r="E314" s="10">
        <f>MAX(E313-D314,0)</f>
        <v/>
      </c>
    </row>
    <row r="315">
      <c r="A315">
        <f>A314+1</f>
        <v/>
      </c>
      <c r="B315" s="10">
        <f>IF(A315&lt;=TermYears*12,Payment,0)</f>
        <v/>
      </c>
      <c r="C315" s="10">
        <f>E314*Rate/100/12</f>
        <v/>
      </c>
      <c r="D315" s="10">
        <f>B315-C315</f>
        <v/>
      </c>
      <c r="E315" s="10">
        <f>MAX(E314-D315,0)</f>
        <v/>
      </c>
    </row>
    <row r="316">
      <c r="A316">
        <f>A315+1</f>
        <v/>
      </c>
      <c r="B316" s="10">
        <f>IF(A316&lt;=TermYears*12,Payment,0)</f>
        <v/>
      </c>
      <c r="C316" s="10">
        <f>E315*Rate/100/12</f>
        <v/>
      </c>
      <c r="D316" s="10">
        <f>B316-C316</f>
        <v/>
      </c>
      <c r="E316" s="10">
        <f>MAX(E315-D316,0)</f>
        <v/>
      </c>
    </row>
    <row r="317">
      <c r="A317">
        <f>A316+1</f>
        <v/>
      </c>
      <c r="B317" s="10">
        <f>IF(A317&lt;=TermYears*12,Payment,0)</f>
        <v/>
      </c>
      <c r="C317" s="10">
        <f>E316*Rate/100/12</f>
        <v/>
      </c>
      <c r="D317" s="10">
        <f>B317-C317</f>
        <v/>
      </c>
      <c r="E317" s="10">
        <f>MAX(E316-D317,0)</f>
        <v/>
      </c>
    </row>
    <row r="318">
      <c r="A318">
        <f>A317+1</f>
        <v/>
      </c>
      <c r="B318" s="10">
        <f>IF(A318&lt;=TermYears*12,Payment,0)</f>
        <v/>
      </c>
      <c r="C318" s="10">
        <f>E317*Rate/100/12</f>
        <v/>
      </c>
      <c r="D318" s="10">
        <f>B318-C318</f>
        <v/>
      </c>
      <c r="E318" s="10">
        <f>MAX(E317-D318,0)</f>
        <v/>
      </c>
    </row>
    <row r="319">
      <c r="A319">
        <f>A318+1</f>
        <v/>
      </c>
      <c r="B319" s="10">
        <f>IF(A319&lt;=TermYears*12,Payment,0)</f>
        <v/>
      </c>
      <c r="C319" s="10">
        <f>E318*Rate/100/12</f>
        <v/>
      </c>
      <c r="D319" s="10">
        <f>B319-C319</f>
        <v/>
      </c>
      <c r="E319" s="10">
        <f>MAX(E318-D319,0)</f>
        <v/>
      </c>
    </row>
    <row r="320">
      <c r="A320">
        <f>A319+1</f>
        <v/>
      </c>
      <c r="B320" s="10">
        <f>IF(A320&lt;=TermYears*12,Payment,0)</f>
        <v/>
      </c>
      <c r="C320" s="10">
        <f>E319*Rate/100/12</f>
        <v/>
      </c>
      <c r="D320" s="10">
        <f>B320-C320</f>
        <v/>
      </c>
      <c r="E320" s="10">
        <f>MAX(E319-D320,0)</f>
        <v/>
      </c>
    </row>
    <row r="321">
      <c r="A321">
        <f>A320+1</f>
        <v/>
      </c>
      <c r="B321" s="10">
        <f>IF(A321&lt;=TermYears*12,Payment,0)</f>
        <v/>
      </c>
      <c r="C321" s="10">
        <f>E320*Rate/100/12</f>
        <v/>
      </c>
      <c r="D321" s="10">
        <f>B321-C321</f>
        <v/>
      </c>
      <c r="E321" s="10">
        <f>MAX(E320-D321,0)</f>
        <v/>
      </c>
    </row>
    <row r="322">
      <c r="A322">
        <f>A321+1</f>
        <v/>
      </c>
      <c r="B322" s="10">
        <f>IF(A322&lt;=TermYears*12,Payment,0)</f>
        <v/>
      </c>
      <c r="C322" s="10">
        <f>E321*Rate/100/12</f>
        <v/>
      </c>
      <c r="D322" s="10">
        <f>B322-C322</f>
        <v/>
      </c>
      <c r="E322" s="10">
        <f>MAX(E321-D322,0)</f>
        <v/>
      </c>
    </row>
    <row r="323">
      <c r="A323">
        <f>A322+1</f>
        <v/>
      </c>
      <c r="B323" s="10">
        <f>IF(A323&lt;=TermYears*12,Payment,0)</f>
        <v/>
      </c>
      <c r="C323" s="10">
        <f>E322*Rate/100/12</f>
        <v/>
      </c>
      <c r="D323" s="10">
        <f>B323-C323</f>
        <v/>
      </c>
      <c r="E323" s="10">
        <f>MAX(E322-D323,0)</f>
        <v/>
      </c>
    </row>
    <row r="324">
      <c r="A324">
        <f>A323+1</f>
        <v/>
      </c>
      <c r="B324" s="10">
        <f>IF(A324&lt;=TermYears*12,Payment,0)</f>
        <v/>
      </c>
      <c r="C324" s="10">
        <f>E323*Rate/100/12</f>
        <v/>
      </c>
      <c r="D324" s="10">
        <f>B324-C324</f>
        <v/>
      </c>
      <c r="E324" s="10">
        <f>MAX(E323-D324,0)</f>
        <v/>
      </c>
    </row>
    <row r="325">
      <c r="A325">
        <f>A324+1</f>
        <v/>
      </c>
      <c r="B325" s="10">
        <f>IF(A325&lt;=TermYears*12,Payment,0)</f>
        <v/>
      </c>
      <c r="C325" s="10">
        <f>E324*Rate/100/12</f>
        <v/>
      </c>
      <c r="D325" s="10">
        <f>B325-C325</f>
        <v/>
      </c>
      <c r="E325" s="10">
        <f>MAX(E324-D325,0)</f>
        <v/>
      </c>
    </row>
    <row r="326">
      <c r="A326">
        <f>A325+1</f>
        <v/>
      </c>
      <c r="B326" s="10">
        <f>IF(A326&lt;=TermYears*12,Payment,0)</f>
        <v/>
      </c>
      <c r="C326" s="10">
        <f>E325*Rate/100/12</f>
        <v/>
      </c>
      <c r="D326" s="10">
        <f>B326-C326</f>
        <v/>
      </c>
      <c r="E326" s="10">
        <f>MAX(E325-D326,0)</f>
        <v/>
      </c>
    </row>
    <row r="327">
      <c r="A327">
        <f>A326+1</f>
        <v/>
      </c>
      <c r="B327" s="10">
        <f>IF(A327&lt;=TermYears*12,Payment,0)</f>
        <v/>
      </c>
      <c r="C327" s="10">
        <f>E326*Rate/100/12</f>
        <v/>
      </c>
      <c r="D327" s="10">
        <f>B327-C327</f>
        <v/>
      </c>
      <c r="E327" s="10">
        <f>MAX(E326-D327,0)</f>
        <v/>
      </c>
    </row>
    <row r="328">
      <c r="A328">
        <f>A327+1</f>
        <v/>
      </c>
      <c r="B328" s="10">
        <f>IF(A328&lt;=TermYears*12,Payment,0)</f>
        <v/>
      </c>
      <c r="C328" s="10">
        <f>E327*Rate/100/12</f>
        <v/>
      </c>
      <c r="D328" s="10">
        <f>B328-C328</f>
        <v/>
      </c>
      <c r="E328" s="10">
        <f>MAX(E327-D328,0)</f>
        <v/>
      </c>
    </row>
    <row r="329">
      <c r="A329">
        <f>A328+1</f>
        <v/>
      </c>
      <c r="B329" s="10">
        <f>IF(A329&lt;=TermYears*12,Payment,0)</f>
        <v/>
      </c>
      <c r="C329" s="10">
        <f>E328*Rate/100/12</f>
        <v/>
      </c>
      <c r="D329" s="10">
        <f>B329-C329</f>
        <v/>
      </c>
      <c r="E329" s="10">
        <f>MAX(E328-D329,0)</f>
        <v/>
      </c>
    </row>
    <row r="330">
      <c r="A330">
        <f>A329+1</f>
        <v/>
      </c>
      <c r="B330" s="10">
        <f>IF(A330&lt;=TermYears*12,Payment,0)</f>
        <v/>
      </c>
      <c r="C330" s="10">
        <f>E329*Rate/100/12</f>
        <v/>
      </c>
      <c r="D330" s="10">
        <f>B330-C330</f>
        <v/>
      </c>
      <c r="E330" s="10">
        <f>MAX(E329-D330,0)</f>
        <v/>
      </c>
    </row>
    <row r="331">
      <c r="A331">
        <f>A330+1</f>
        <v/>
      </c>
      <c r="B331" s="10">
        <f>IF(A331&lt;=TermYears*12,Payment,0)</f>
        <v/>
      </c>
      <c r="C331" s="10">
        <f>E330*Rate/100/12</f>
        <v/>
      </c>
      <c r="D331" s="10">
        <f>B331-C331</f>
        <v/>
      </c>
      <c r="E331" s="10">
        <f>MAX(E330-D331,0)</f>
        <v/>
      </c>
    </row>
    <row r="332">
      <c r="A332">
        <f>A331+1</f>
        <v/>
      </c>
      <c r="B332" s="10">
        <f>IF(A332&lt;=TermYears*12,Payment,0)</f>
        <v/>
      </c>
      <c r="C332" s="10">
        <f>E331*Rate/100/12</f>
        <v/>
      </c>
      <c r="D332" s="10">
        <f>B332-C332</f>
        <v/>
      </c>
      <c r="E332" s="10">
        <f>MAX(E331-D332,0)</f>
        <v/>
      </c>
    </row>
    <row r="333">
      <c r="A333">
        <f>A332+1</f>
        <v/>
      </c>
      <c r="B333" s="10">
        <f>IF(A333&lt;=TermYears*12,Payment,0)</f>
        <v/>
      </c>
      <c r="C333" s="10">
        <f>E332*Rate/100/12</f>
        <v/>
      </c>
      <c r="D333" s="10">
        <f>B333-C333</f>
        <v/>
      </c>
      <c r="E333" s="10">
        <f>MAX(E332-D333,0)</f>
        <v/>
      </c>
    </row>
    <row r="334">
      <c r="A334">
        <f>A333+1</f>
        <v/>
      </c>
      <c r="B334" s="10">
        <f>IF(A334&lt;=TermYears*12,Payment,0)</f>
        <v/>
      </c>
      <c r="C334" s="10">
        <f>E333*Rate/100/12</f>
        <v/>
      </c>
      <c r="D334" s="10">
        <f>B334-C334</f>
        <v/>
      </c>
      <c r="E334" s="10">
        <f>MAX(E333-D334,0)</f>
        <v/>
      </c>
    </row>
    <row r="335">
      <c r="A335">
        <f>A334+1</f>
        <v/>
      </c>
      <c r="B335" s="10">
        <f>IF(A335&lt;=TermYears*12,Payment,0)</f>
        <v/>
      </c>
      <c r="C335" s="10">
        <f>E334*Rate/100/12</f>
        <v/>
      </c>
      <c r="D335" s="10">
        <f>B335-C335</f>
        <v/>
      </c>
      <c r="E335" s="10">
        <f>MAX(E334-D335,0)</f>
        <v/>
      </c>
    </row>
    <row r="336">
      <c r="A336">
        <f>A335+1</f>
        <v/>
      </c>
      <c r="B336" s="10">
        <f>IF(A336&lt;=TermYears*12,Payment,0)</f>
        <v/>
      </c>
      <c r="C336" s="10">
        <f>E335*Rate/100/12</f>
        <v/>
      </c>
      <c r="D336" s="10">
        <f>B336-C336</f>
        <v/>
      </c>
      <c r="E336" s="10">
        <f>MAX(E335-D336,0)</f>
        <v/>
      </c>
    </row>
    <row r="337">
      <c r="A337">
        <f>A336+1</f>
        <v/>
      </c>
      <c r="B337" s="10">
        <f>IF(A337&lt;=TermYears*12,Payment,0)</f>
        <v/>
      </c>
      <c r="C337" s="10">
        <f>E336*Rate/100/12</f>
        <v/>
      </c>
      <c r="D337" s="10">
        <f>B337-C337</f>
        <v/>
      </c>
      <c r="E337" s="10">
        <f>MAX(E336-D337,0)</f>
        <v/>
      </c>
    </row>
    <row r="338">
      <c r="A338">
        <f>A337+1</f>
        <v/>
      </c>
      <c r="B338" s="10">
        <f>IF(A338&lt;=TermYears*12,Payment,0)</f>
        <v/>
      </c>
      <c r="C338" s="10">
        <f>E337*Rate/100/12</f>
        <v/>
      </c>
      <c r="D338" s="10">
        <f>B338-C338</f>
        <v/>
      </c>
      <c r="E338" s="10">
        <f>MAX(E337-D338,0)</f>
        <v/>
      </c>
    </row>
    <row r="339">
      <c r="A339">
        <f>A338+1</f>
        <v/>
      </c>
      <c r="B339" s="10">
        <f>IF(A339&lt;=TermYears*12,Payment,0)</f>
        <v/>
      </c>
      <c r="C339" s="10">
        <f>E338*Rate/100/12</f>
        <v/>
      </c>
      <c r="D339" s="10">
        <f>B339-C339</f>
        <v/>
      </c>
      <c r="E339" s="10">
        <f>MAX(E338-D339,0)</f>
        <v/>
      </c>
    </row>
    <row r="340">
      <c r="A340">
        <f>A339+1</f>
        <v/>
      </c>
      <c r="B340" s="10">
        <f>IF(A340&lt;=TermYears*12,Payment,0)</f>
        <v/>
      </c>
      <c r="C340" s="10">
        <f>E339*Rate/100/12</f>
        <v/>
      </c>
      <c r="D340" s="10">
        <f>B340-C340</f>
        <v/>
      </c>
      <c r="E340" s="10">
        <f>MAX(E339-D340,0)</f>
        <v/>
      </c>
    </row>
    <row r="341">
      <c r="A341">
        <f>A340+1</f>
        <v/>
      </c>
      <c r="B341" s="10">
        <f>IF(A341&lt;=TermYears*12,Payment,0)</f>
        <v/>
      </c>
      <c r="C341" s="10">
        <f>E340*Rate/100/12</f>
        <v/>
      </c>
      <c r="D341" s="10">
        <f>B341-C341</f>
        <v/>
      </c>
      <c r="E341" s="10">
        <f>MAX(E340-D341,0)</f>
        <v/>
      </c>
    </row>
    <row r="342">
      <c r="A342">
        <f>A341+1</f>
        <v/>
      </c>
      <c r="B342" s="10">
        <f>IF(A342&lt;=TermYears*12,Payment,0)</f>
        <v/>
      </c>
      <c r="C342" s="10">
        <f>E341*Rate/100/12</f>
        <v/>
      </c>
      <c r="D342" s="10">
        <f>B342-C342</f>
        <v/>
      </c>
      <c r="E342" s="10">
        <f>MAX(E341-D342,0)</f>
        <v/>
      </c>
    </row>
    <row r="343">
      <c r="A343">
        <f>A342+1</f>
        <v/>
      </c>
      <c r="B343" s="10">
        <f>IF(A343&lt;=TermYears*12,Payment,0)</f>
        <v/>
      </c>
      <c r="C343" s="10">
        <f>E342*Rate/100/12</f>
        <v/>
      </c>
      <c r="D343" s="10">
        <f>B343-C343</f>
        <v/>
      </c>
      <c r="E343" s="10">
        <f>MAX(E342-D343,0)</f>
        <v/>
      </c>
    </row>
    <row r="344">
      <c r="A344">
        <f>A343+1</f>
        <v/>
      </c>
      <c r="B344" s="10">
        <f>IF(A344&lt;=TermYears*12,Payment,0)</f>
        <v/>
      </c>
      <c r="C344" s="10">
        <f>E343*Rate/100/12</f>
        <v/>
      </c>
      <c r="D344" s="10">
        <f>B344-C344</f>
        <v/>
      </c>
      <c r="E344" s="10">
        <f>MAX(E343-D344,0)</f>
        <v/>
      </c>
    </row>
    <row r="345">
      <c r="A345">
        <f>A344+1</f>
        <v/>
      </c>
      <c r="B345" s="10">
        <f>IF(A345&lt;=TermYears*12,Payment,0)</f>
        <v/>
      </c>
      <c r="C345" s="10">
        <f>E344*Rate/100/12</f>
        <v/>
      </c>
      <c r="D345" s="10">
        <f>B345-C345</f>
        <v/>
      </c>
      <c r="E345" s="10">
        <f>MAX(E344-D345,0)</f>
        <v/>
      </c>
    </row>
    <row r="346">
      <c r="A346">
        <f>A345+1</f>
        <v/>
      </c>
      <c r="B346" s="10">
        <f>IF(A346&lt;=TermYears*12,Payment,0)</f>
        <v/>
      </c>
      <c r="C346" s="10">
        <f>E345*Rate/100/12</f>
        <v/>
      </c>
      <c r="D346" s="10">
        <f>B346-C346</f>
        <v/>
      </c>
      <c r="E346" s="10">
        <f>MAX(E345-D346,0)</f>
        <v/>
      </c>
    </row>
    <row r="347">
      <c r="A347">
        <f>A346+1</f>
        <v/>
      </c>
      <c r="B347" s="10">
        <f>IF(A347&lt;=TermYears*12,Payment,0)</f>
        <v/>
      </c>
      <c r="C347" s="10">
        <f>E346*Rate/100/12</f>
        <v/>
      </c>
      <c r="D347" s="10">
        <f>B347-C347</f>
        <v/>
      </c>
      <c r="E347" s="10">
        <f>MAX(E346-D347,0)</f>
        <v/>
      </c>
    </row>
    <row r="348">
      <c r="A348">
        <f>A347+1</f>
        <v/>
      </c>
      <c r="B348" s="10">
        <f>IF(A348&lt;=TermYears*12,Payment,0)</f>
        <v/>
      </c>
      <c r="C348" s="10">
        <f>E347*Rate/100/12</f>
        <v/>
      </c>
      <c r="D348" s="10">
        <f>B348-C348</f>
        <v/>
      </c>
      <c r="E348" s="10">
        <f>MAX(E347-D348,0)</f>
        <v/>
      </c>
    </row>
    <row r="349">
      <c r="A349">
        <f>A348+1</f>
        <v/>
      </c>
      <c r="B349" s="10">
        <f>IF(A349&lt;=TermYears*12,Payment,0)</f>
        <v/>
      </c>
      <c r="C349" s="10">
        <f>E348*Rate/100/12</f>
        <v/>
      </c>
      <c r="D349" s="10">
        <f>B349-C349</f>
        <v/>
      </c>
      <c r="E349" s="10">
        <f>MAX(E348-D349,0)</f>
        <v/>
      </c>
    </row>
    <row r="350">
      <c r="A350">
        <f>A349+1</f>
        <v/>
      </c>
      <c r="B350" s="10">
        <f>IF(A350&lt;=TermYears*12,Payment,0)</f>
        <v/>
      </c>
      <c r="C350" s="10">
        <f>E349*Rate/100/12</f>
        <v/>
      </c>
      <c r="D350" s="10">
        <f>B350-C350</f>
        <v/>
      </c>
      <c r="E350" s="10">
        <f>MAX(E349-D350,0)</f>
        <v/>
      </c>
    </row>
    <row r="351">
      <c r="A351">
        <f>A350+1</f>
        <v/>
      </c>
      <c r="B351" s="10">
        <f>IF(A351&lt;=TermYears*12,Payment,0)</f>
        <v/>
      </c>
      <c r="C351" s="10">
        <f>E350*Rate/100/12</f>
        <v/>
      </c>
      <c r="D351" s="10">
        <f>B351-C351</f>
        <v/>
      </c>
      <c r="E351" s="10">
        <f>MAX(E350-D351,0)</f>
        <v/>
      </c>
    </row>
    <row r="352">
      <c r="A352">
        <f>A351+1</f>
        <v/>
      </c>
      <c r="B352" s="10">
        <f>IF(A352&lt;=TermYears*12,Payment,0)</f>
        <v/>
      </c>
      <c r="C352" s="10">
        <f>E351*Rate/100/12</f>
        <v/>
      </c>
      <c r="D352" s="10">
        <f>B352-C352</f>
        <v/>
      </c>
      <c r="E352" s="10">
        <f>MAX(E351-D352,0)</f>
        <v/>
      </c>
    </row>
    <row r="353">
      <c r="A353">
        <f>A352+1</f>
        <v/>
      </c>
      <c r="B353" s="10">
        <f>IF(A353&lt;=TermYears*12,Payment,0)</f>
        <v/>
      </c>
      <c r="C353" s="10">
        <f>E352*Rate/100/12</f>
        <v/>
      </c>
      <c r="D353" s="10">
        <f>B353-C353</f>
        <v/>
      </c>
      <c r="E353" s="10">
        <f>MAX(E352-D353,0)</f>
        <v/>
      </c>
    </row>
    <row r="354">
      <c r="A354">
        <f>A353+1</f>
        <v/>
      </c>
      <c r="B354" s="10">
        <f>IF(A354&lt;=TermYears*12,Payment,0)</f>
        <v/>
      </c>
      <c r="C354" s="10">
        <f>E353*Rate/100/12</f>
        <v/>
      </c>
      <c r="D354" s="10">
        <f>B354-C354</f>
        <v/>
      </c>
      <c r="E354" s="10">
        <f>MAX(E353-D354,0)</f>
        <v/>
      </c>
    </row>
    <row r="355">
      <c r="A355">
        <f>A354+1</f>
        <v/>
      </c>
      <c r="B355" s="10">
        <f>IF(A355&lt;=TermYears*12,Payment,0)</f>
        <v/>
      </c>
      <c r="C355" s="10">
        <f>E354*Rate/100/12</f>
        <v/>
      </c>
      <c r="D355" s="10">
        <f>B355-C355</f>
        <v/>
      </c>
      <c r="E355" s="10">
        <f>MAX(E354-D355,0)</f>
        <v/>
      </c>
    </row>
    <row r="356">
      <c r="A356">
        <f>A355+1</f>
        <v/>
      </c>
      <c r="B356" s="10">
        <f>IF(A356&lt;=TermYears*12,Payment,0)</f>
        <v/>
      </c>
      <c r="C356" s="10">
        <f>E355*Rate/100/12</f>
        <v/>
      </c>
      <c r="D356" s="10">
        <f>B356-C356</f>
        <v/>
      </c>
      <c r="E356" s="10">
        <f>MAX(E355-D356,0)</f>
        <v/>
      </c>
    </row>
    <row r="357">
      <c r="A357">
        <f>A356+1</f>
        <v/>
      </c>
      <c r="B357" s="10">
        <f>IF(A357&lt;=TermYears*12,Payment,0)</f>
        <v/>
      </c>
      <c r="C357" s="10">
        <f>E356*Rate/100/12</f>
        <v/>
      </c>
      <c r="D357" s="10">
        <f>B357-C357</f>
        <v/>
      </c>
      <c r="E357" s="10">
        <f>MAX(E356-D357,0)</f>
        <v/>
      </c>
    </row>
    <row r="358">
      <c r="A358">
        <f>A357+1</f>
        <v/>
      </c>
      <c r="B358" s="10">
        <f>IF(A358&lt;=TermYears*12,Payment,0)</f>
        <v/>
      </c>
      <c r="C358" s="10">
        <f>E357*Rate/100/12</f>
        <v/>
      </c>
      <c r="D358" s="10">
        <f>B358-C358</f>
        <v/>
      </c>
      <c r="E358" s="10">
        <f>MAX(E357-D358,0)</f>
        <v/>
      </c>
    </row>
    <row r="359">
      <c r="A359">
        <f>A358+1</f>
        <v/>
      </c>
      <c r="B359" s="10">
        <f>IF(A359&lt;=TermYears*12,Payment,0)</f>
        <v/>
      </c>
      <c r="C359" s="10">
        <f>E358*Rate/100/12</f>
        <v/>
      </c>
      <c r="D359" s="10">
        <f>B359-C359</f>
        <v/>
      </c>
      <c r="E359" s="10">
        <f>MAX(E358-D359,0)</f>
        <v/>
      </c>
    </row>
    <row r="360">
      <c r="A360">
        <f>A359+1</f>
        <v/>
      </c>
      <c r="B360" s="10">
        <f>IF(A360&lt;=TermYears*12,Payment,0)</f>
        <v/>
      </c>
      <c r="C360" s="10">
        <f>E359*Rate/100/12</f>
        <v/>
      </c>
      <c r="D360" s="10">
        <f>B360-C360</f>
        <v/>
      </c>
      <c r="E360" s="10">
        <f>MAX(E359-D360,0)</f>
        <v/>
      </c>
    </row>
    <row r="361">
      <c r="A361">
        <f>A360+1</f>
        <v/>
      </c>
      <c r="B361" s="10">
        <f>IF(A361&lt;=TermYears*12,Payment,0)</f>
        <v/>
      </c>
      <c r="C361" s="10">
        <f>E360*Rate/100/12</f>
        <v/>
      </c>
      <c r="D361" s="10">
        <f>B361-C361</f>
        <v/>
      </c>
      <c r="E361" s="10">
        <f>MAX(E360-D361,0)</f>
        <v/>
      </c>
    </row>
    <row r="362">
      <c r="A362">
        <f>A361+1</f>
        <v/>
      </c>
      <c r="B362" s="10">
        <f>IF(A362&lt;=TermYears*12,Payment,0)</f>
        <v/>
      </c>
      <c r="C362" s="10">
        <f>E361*Rate/100/12</f>
        <v/>
      </c>
      <c r="D362" s="10">
        <f>B362-C362</f>
        <v/>
      </c>
      <c r="E362" s="10">
        <f>MAX(E361-D362,0)</f>
        <v/>
      </c>
    </row>
    <row r="363">
      <c r="A363">
        <f>A362+1</f>
        <v/>
      </c>
      <c r="B363" s="10">
        <f>IF(A363&lt;=TermYears*12,Payment,0)</f>
        <v/>
      </c>
      <c r="C363" s="10">
        <f>E362*Rate/100/12</f>
        <v/>
      </c>
      <c r="D363" s="10">
        <f>B363-C363</f>
        <v/>
      </c>
      <c r="E363" s="10">
        <f>MAX(E362-D363,0)</f>
        <v/>
      </c>
    </row>
    <row r="364">
      <c r="A364">
        <f>A363+1</f>
        <v/>
      </c>
      <c r="B364" s="10">
        <f>IF(A364&lt;=TermYears*12,Payment,0)</f>
        <v/>
      </c>
      <c r="C364" s="10">
        <f>E363*Rate/100/12</f>
        <v/>
      </c>
      <c r="D364" s="10">
        <f>B364-C364</f>
        <v/>
      </c>
      <c r="E364" s="10">
        <f>MAX(E363-D364,0)</f>
        <v/>
      </c>
    </row>
    <row r="365">
      <c r="A365">
        <f>A364+1</f>
        <v/>
      </c>
      <c r="B365" s="10">
        <f>IF(A365&lt;=TermYears*12,Payment,0)</f>
        <v/>
      </c>
      <c r="C365" s="10">
        <f>E364*Rate/100/12</f>
        <v/>
      </c>
      <c r="D365" s="10">
        <f>B365-C365</f>
        <v/>
      </c>
      <c r="E365" s="10">
        <f>MAX(E364-D365,0)</f>
        <v/>
      </c>
    </row>
    <row r="366">
      <c r="A366">
        <f>A365+1</f>
        <v/>
      </c>
      <c r="B366" s="10">
        <f>IF(A366&lt;=TermYears*12,Payment,0)</f>
        <v/>
      </c>
      <c r="C366" s="10">
        <f>E365*Rate/100/12</f>
        <v/>
      </c>
      <c r="D366" s="10">
        <f>B366-C366</f>
        <v/>
      </c>
      <c r="E366" s="10">
        <f>MAX(E365-D366,0)</f>
        <v/>
      </c>
    </row>
    <row r="367">
      <c r="A367">
        <f>A366+1</f>
        <v/>
      </c>
      <c r="B367" s="10">
        <f>IF(A367&lt;=TermYears*12,Payment,0)</f>
        <v/>
      </c>
      <c r="C367" s="10">
        <f>E366*Rate/100/12</f>
        <v/>
      </c>
      <c r="D367" s="10">
        <f>B367-C367</f>
        <v/>
      </c>
      <c r="E367" s="10">
        <f>MAX(E366-D367,0)</f>
        <v/>
      </c>
    </row>
    <row r="368">
      <c r="A368">
        <f>A367+1</f>
        <v/>
      </c>
      <c r="B368" s="10">
        <f>IF(A368&lt;=TermYears*12,Payment,0)</f>
        <v/>
      </c>
      <c r="C368" s="10">
        <f>E367*Rate/100/12</f>
        <v/>
      </c>
      <c r="D368" s="10">
        <f>B368-C368</f>
        <v/>
      </c>
      <c r="E368" s="10">
        <f>MAX(E367-D368,0)</f>
        <v/>
      </c>
    </row>
    <row r="369">
      <c r="A369">
        <f>A368+1</f>
        <v/>
      </c>
      <c r="B369" s="10">
        <f>IF(A369&lt;=TermYears*12,Payment,0)</f>
        <v/>
      </c>
      <c r="C369" s="10">
        <f>E368*Rate/100/12</f>
        <v/>
      </c>
      <c r="D369" s="10">
        <f>B369-C369</f>
        <v/>
      </c>
      <c r="E369" s="10">
        <f>MAX(E368-D369,0)</f>
        <v/>
      </c>
    </row>
    <row r="370">
      <c r="A370">
        <f>A369+1</f>
        <v/>
      </c>
      <c r="B370" s="10">
        <f>IF(A370&lt;=TermYears*12,Payment,0)</f>
        <v/>
      </c>
      <c r="C370" s="10">
        <f>E369*Rate/100/12</f>
        <v/>
      </c>
      <c r="D370" s="10">
        <f>B370-C370</f>
        <v/>
      </c>
      <c r="E370" s="10">
        <f>MAX(E369-D370,0)</f>
        <v/>
      </c>
    </row>
    <row r="371">
      <c r="A371">
        <f>A370+1</f>
        <v/>
      </c>
      <c r="B371" s="10">
        <f>IF(A371&lt;=TermYears*12,Payment,0)</f>
        <v/>
      </c>
      <c r="C371" s="10">
        <f>E370*Rate/100/12</f>
        <v/>
      </c>
      <c r="D371" s="10">
        <f>B371-C371</f>
        <v/>
      </c>
      <c r="E371" s="10">
        <f>MAX(E370-D371,0)</f>
        <v/>
      </c>
    </row>
    <row r="372">
      <c r="A372">
        <f>A371+1</f>
        <v/>
      </c>
      <c r="B372" s="10">
        <f>IF(A372&lt;=TermYears*12,Payment,0)</f>
        <v/>
      </c>
      <c r="C372" s="10">
        <f>E371*Rate/100/12</f>
        <v/>
      </c>
      <c r="D372" s="10">
        <f>B372-C372</f>
        <v/>
      </c>
      <c r="E372" s="10">
        <f>MAX(E371-D372,0)</f>
        <v/>
      </c>
    </row>
    <row r="373">
      <c r="A373">
        <f>A372+1</f>
        <v/>
      </c>
      <c r="B373" s="10">
        <f>IF(A373&lt;=TermYears*12,Payment,0)</f>
        <v/>
      </c>
      <c r="C373" s="10">
        <f>E372*Rate/100/12</f>
        <v/>
      </c>
      <c r="D373" s="10">
        <f>B373-C373</f>
        <v/>
      </c>
      <c r="E373" s="10">
        <f>MAX(E372-D373,0)</f>
        <v/>
      </c>
    </row>
    <row r="374">
      <c r="A374">
        <f>A373+1</f>
        <v/>
      </c>
      <c r="B374" s="10">
        <f>IF(A374&lt;=TermYears*12,Payment,0)</f>
        <v/>
      </c>
      <c r="C374" s="10">
        <f>E373*Rate/100/12</f>
        <v/>
      </c>
      <c r="D374" s="10">
        <f>B374-C374</f>
        <v/>
      </c>
      <c r="E374" s="10">
        <f>MAX(E373-D374,0)</f>
        <v/>
      </c>
    </row>
    <row r="375">
      <c r="A375">
        <f>A374+1</f>
        <v/>
      </c>
      <c r="B375" s="10">
        <f>IF(A375&lt;=TermYears*12,Payment,0)</f>
        <v/>
      </c>
      <c r="C375" s="10">
        <f>E374*Rate/100/12</f>
        <v/>
      </c>
      <c r="D375" s="10">
        <f>B375-C375</f>
        <v/>
      </c>
      <c r="E375" s="10">
        <f>MAX(E374-D375,0)</f>
        <v/>
      </c>
    </row>
    <row r="376">
      <c r="A376">
        <f>A375+1</f>
        <v/>
      </c>
      <c r="B376" s="10">
        <f>IF(A376&lt;=TermYears*12,Payment,0)</f>
        <v/>
      </c>
      <c r="C376" s="10">
        <f>E375*Rate/100/12</f>
        <v/>
      </c>
      <c r="D376" s="10">
        <f>B376-C376</f>
        <v/>
      </c>
      <c r="E376" s="10">
        <f>MAX(E375-D376,0)</f>
        <v/>
      </c>
    </row>
    <row r="377">
      <c r="A377">
        <f>A376+1</f>
        <v/>
      </c>
      <c r="B377" s="10">
        <f>IF(A377&lt;=TermYears*12,Payment,0)</f>
        <v/>
      </c>
      <c r="C377" s="10">
        <f>E376*Rate/100/12</f>
        <v/>
      </c>
      <c r="D377" s="10">
        <f>B377-C377</f>
        <v/>
      </c>
      <c r="E377" s="10">
        <f>MAX(E376-D377,0)</f>
        <v/>
      </c>
    </row>
    <row r="378">
      <c r="A378">
        <f>A377+1</f>
        <v/>
      </c>
      <c r="B378" s="10">
        <f>IF(A378&lt;=TermYears*12,Payment,0)</f>
        <v/>
      </c>
      <c r="C378" s="10">
        <f>E377*Rate/100/12</f>
        <v/>
      </c>
      <c r="D378" s="10">
        <f>B378-C378</f>
        <v/>
      </c>
      <c r="E378" s="10">
        <f>MAX(E377-D378,0)</f>
        <v/>
      </c>
    </row>
    <row r="379">
      <c r="A379">
        <f>A378+1</f>
        <v/>
      </c>
      <c r="B379" s="10">
        <f>IF(A379&lt;=TermYears*12,Payment,0)</f>
        <v/>
      </c>
      <c r="C379" s="10">
        <f>E378*Rate/100/12</f>
        <v/>
      </c>
      <c r="D379" s="10">
        <f>B379-C379</f>
        <v/>
      </c>
      <c r="E379" s="10">
        <f>MAX(E378-D379,0)</f>
        <v/>
      </c>
    </row>
    <row r="380">
      <c r="A380">
        <f>A379+1</f>
        <v/>
      </c>
      <c r="B380" s="10">
        <f>IF(A380&lt;=TermYears*12,Payment,0)</f>
        <v/>
      </c>
      <c r="C380" s="10">
        <f>E379*Rate/100/12</f>
        <v/>
      </c>
      <c r="D380" s="10">
        <f>B380-C380</f>
        <v/>
      </c>
      <c r="E380" s="10">
        <f>MAX(E379-D380,0)</f>
        <v/>
      </c>
    </row>
  </sheetData>
  <dataValidations count="1">
    <dataValidation sqref="B3" showDropDown="0" showInputMessage="0" showErrorMessage="0" allowBlank="0" type="list">
      <formula1>=MetroNames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1" t="inlineStr">
        <is>
          <t>doorstep: can anyone still afford a home. Every number on the chapter sheets is rendered from results/manifest.json, the same file the site and the memo read.</t>
        </is>
      </c>
    </row>
    <row r="2">
      <c r="A2" s="11" t="inlineStr"/>
    </row>
    <row r="3">
      <c r="A3" s="11" t="inlineStr">
        <is>
          <t>Model sheet: pick a metro in B3 (a validated list from the Metros sheet), type an income in B4, a rate in B5 (percent), a down payment share in B6, and tax and insurance rates in B7 and B8.</t>
        </is>
      </c>
    </row>
    <row r="4">
      <c r="A4" s="11" t="inlineStr">
        <is>
          <t>The payment is PMT on the loan at the monthly rate over the term; the payment share is twelve payments over the income; the affordable price is PV of the line share of income over the term, grossed up for the down payment.</t>
        </is>
      </c>
    </row>
    <row r="5">
      <c r="A5" s="11" t="inlineStr">
        <is>
          <t>The amortisation table recalculates for every input. The headline figures of the story use principal and interest only, with taxes and insurance as workbook inputs, as the definitions document says.</t>
        </is>
      </c>
    </row>
    <row r="6">
      <c r="A6" s="11" t="inlineStr"/>
    </row>
    <row r="7">
      <c r="A7" s="11" t="inlineStr">
        <is>
          <t>Metros sheet: the latest anchored median home (FHFA all transactions index anchored to the census median value in the anchor year), the census median household income and median gross rent of the latest one year release, and the latest quarterly PMMS rate.</t>
        </is>
      </c>
    </row>
    <row r="8">
      <c r="A8" s="11" t="inlineStr"/>
    </row>
    <row r="9">
      <c r="A9" s="11" t="inlineStr">
        <is>
          <t>Public data from the Federal Housing Finance Agency, the Census Bureau (American Community Survey, Building Permits Survey, Population Estimates), the Department of Housing and Urban Development and the Consumer Financial Protection Bureau (HMDA), with mortgage rates from Freddie Mac under its terms of use. Metros are real and appear as they do in the public record; no household, borrower or address appears. The findings are a portfolio analysis, not financial advice, not a market forecast and not a fair lending finding.</t>
        </is>
      </c>
    </row>
    <row r="10">
      <c r="A10" s="11" t="inlineStr">
        <is>
          <t>Mortgage rates: Freddie Mac Primary Mortgage Market Survey, used under its terms of use.</t>
        </is>
      </c>
    </row>
    <row r="11">
      <c r="A11" s="11" t="inlineStr">
        <is>
          <t>Manifest as of 2026-10-23.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5"/>
  <sheetViews>
    <sheetView workbookViewId="0">
      <pane ySplit="3" topLeftCell="A4" activePane="bottomLeft" state="frozen"/>
      <selection pane="bottomLeft" activeCell="A1" sqref="A1"/>
    </sheetView>
  </sheetViews>
  <sheetFormatPr baseColWidth="8" defaultRowHeight="15"/>
  <cols>
    <col width="16" customWidth="1" min="1" max="1"/>
    <col width="44"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Every metropolitan area the calculator covers: the latest anchored median home, the census median income and rent, and the latest quarterly rate</t>
        </is>
      </c>
    </row>
    <row r="3">
      <c r="A3" s="9" t="inlineStr">
        <is>
          <t>Code</t>
        </is>
      </c>
      <c r="B3" s="9" t="inlineStr">
        <is>
          <t>Metro</t>
        </is>
      </c>
      <c r="C3" s="9" t="inlineStr">
        <is>
          <t>Households</t>
        </is>
      </c>
      <c r="D3" s="9" t="inlineStr">
        <is>
          <t>Median home</t>
        </is>
      </c>
      <c r="E3" s="9" t="inlineStr">
        <is>
          <t>Median income</t>
        </is>
      </c>
      <c r="F3" s="9" t="inlineStr">
        <is>
          <t>Median rent (monthly)</t>
        </is>
      </c>
      <c r="G3" s="9" t="inlineStr">
        <is>
          <t>Latest quarter</t>
        </is>
      </c>
      <c r="H3" s="9" t="inlineStr">
        <is>
          <t>Latest rate</t>
        </is>
      </c>
      <c r="I3" s="9" t="inlineStr">
        <is>
          <t>Income year</t>
        </is>
      </c>
    </row>
    <row r="4">
      <c r="A4" t="inlineStr">
        <is>
          <t>10180</t>
        </is>
      </c>
      <c r="B4" t="inlineStr">
        <is>
          <t>Abilene, TX</t>
        </is>
      </c>
      <c r="C4" s="12" t="n">
        <v>66099</v>
      </c>
      <c r="D4" s="4" t="n">
        <v>225739.5089211549</v>
      </c>
      <c r="E4" s="4" t="n">
        <v>63390</v>
      </c>
      <c r="F4" s="4" t="n">
        <v>1173</v>
      </c>
      <c r="G4" t="inlineStr">
        <is>
          <t>2026Q2</t>
        </is>
      </c>
      <c r="H4" s="13" t="n">
        <v>6.414615384615384</v>
      </c>
      <c r="I4" t="n">
        <v>2024</v>
      </c>
    </row>
    <row r="5">
      <c r="A5" t="inlineStr">
        <is>
          <t>10420</t>
        </is>
      </c>
      <c r="B5" t="inlineStr">
        <is>
          <t>Akron, OH</t>
        </is>
      </c>
      <c r="C5" s="12" t="n">
        <v>303143</v>
      </c>
      <c r="D5" s="4" t="n">
        <v>266117.3175665162</v>
      </c>
      <c r="E5" s="4" t="n">
        <v>71364</v>
      </c>
      <c r="F5" s="4" t="n">
        <v>1059</v>
      </c>
      <c r="G5" t="inlineStr">
        <is>
          <t>2026Q2</t>
        </is>
      </c>
      <c r="H5" s="13" t="n">
        <v>6.414615384615384</v>
      </c>
      <c r="I5" t="n">
        <v>2024</v>
      </c>
    </row>
    <row r="6">
      <c r="A6" t="inlineStr">
        <is>
          <t>10500</t>
        </is>
      </c>
      <c r="B6" t="inlineStr">
        <is>
          <t>Albany, GA</t>
        </is>
      </c>
      <c r="C6" s="12" t="n">
        <v>56259</v>
      </c>
      <c r="D6" s="4" t="n">
        <v>209077.7595972309</v>
      </c>
      <c r="E6" s="4" t="n">
        <v>56851</v>
      </c>
      <c r="F6" s="4" t="n">
        <v>975</v>
      </c>
      <c r="G6" t="inlineStr">
        <is>
          <t>2026Q2</t>
        </is>
      </c>
      <c r="H6" s="13" t="n">
        <v>6.414615384615384</v>
      </c>
      <c r="I6" t="n">
        <v>2024</v>
      </c>
    </row>
    <row r="7">
      <c r="A7" t="inlineStr">
        <is>
          <t>10540</t>
        </is>
      </c>
      <c r="B7" t="inlineStr">
        <is>
          <t>Albany, OR</t>
        </is>
      </c>
      <c r="C7" s="12" t="n">
        <v>50968</v>
      </c>
      <c r="D7" s="4" t="n">
        <v>407881.7234177275</v>
      </c>
      <c r="E7" s="4" t="n">
        <v>80422</v>
      </c>
      <c r="F7" s="4" t="n">
        <v>1363</v>
      </c>
      <c r="G7" t="inlineStr">
        <is>
          <t>2026Q2</t>
        </is>
      </c>
      <c r="H7" s="13" t="n">
        <v>6.414615384615384</v>
      </c>
      <c r="I7" t="n">
        <v>2024</v>
      </c>
    </row>
    <row r="8">
      <c r="A8" t="inlineStr">
        <is>
          <t>10580</t>
        </is>
      </c>
      <c r="B8" t="inlineStr">
        <is>
          <t>Albany-Schenectady-Troy, NY</t>
        </is>
      </c>
      <c r="C8" s="12" t="n">
        <v>398349</v>
      </c>
      <c r="D8" s="4" t="n">
        <v>387659.3686908374</v>
      </c>
      <c r="E8" s="4" t="n">
        <v>86637</v>
      </c>
      <c r="F8" s="4" t="n">
        <v>1341</v>
      </c>
      <c r="G8" t="inlineStr">
        <is>
          <t>2026Q2</t>
        </is>
      </c>
      <c r="H8" s="13" t="n">
        <v>6.414615384615384</v>
      </c>
      <c r="I8" t="n">
        <v>2024</v>
      </c>
    </row>
    <row r="9">
      <c r="A9" t="inlineStr">
        <is>
          <t>10740</t>
        </is>
      </c>
      <c r="B9" t="inlineStr">
        <is>
          <t>Albuquerque, NM</t>
        </is>
      </c>
      <c r="C9" s="12" t="n">
        <v>378607</v>
      </c>
      <c r="D9" s="4" t="n">
        <v>353121.8736287846</v>
      </c>
      <c r="E9" s="4" t="n">
        <v>76097</v>
      </c>
      <c r="F9" s="4" t="n">
        <v>1220</v>
      </c>
      <c r="G9" t="inlineStr">
        <is>
          <t>2026Q2</t>
        </is>
      </c>
      <c r="H9" s="13" t="n">
        <v>6.414615384615384</v>
      </c>
      <c r="I9" t="n">
        <v>2024</v>
      </c>
    </row>
    <row r="10">
      <c r="A10" t="inlineStr">
        <is>
          <t>10780</t>
        </is>
      </c>
      <c r="B10" t="inlineStr">
        <is>
          <t>Alexandria, LA</t>
        </is>
      </c>
      <c r="C10" s="12" t="n">
        <v>58271</v>
      </c>
      <c r="D10" s="4" t="n">
        <v>191619.8078763603</v>
      </c>
      <c r="E10" s="4" t="n">
        <v>55909</v>
      </c>
      <c r="F10" s="4" t="n">
        <v>899</v>
      </c>
      <c r="G10" t="inlineStr">
        <is>
          <t>2026Q2</t>
        </is>
      </c>
      <c r="H10" s="13" t="n">
        <v>6.414615384615384</v>
      </c>
      <c r="I10" t="n">
        <v>2024</v>
      </c>
    </row>
    <row r="11">
      <c r="A11" t="inlineStr">
        <is>
          <t>10900</t>
        </is>
      </c>
      <c r="B11" t="inlineStr">
        <is>
          <t>Allentown-Bethlehem-Easton, PA-NJ</t>
        </is>
      </c>
      <c r="C11" s="12" t="n">
        <v>341143</v>
      </c>
      <c r="D11" s="4" t="n">
        <v>408033.0698444224</v>
      </c>
      <c r="E11" s="4" t="n">
        <v>83974</v>
      </c>
      <c r="F11" s="4" t="n">
        <v>1458</v>
      </c>
      <c r="G11" t="inlineStr">
        <is>
          <t>2026Q2</t>
        </is>
      </c>
      <c r="H11" s="13" t="n">
        <v>6.414615384615384</v>
      </c>
      <c r="I11" t="n">
        <v>2024</v>
      </c>
    </row>
    <row r="12">
      <c r="A12" t="inlineStr">
        <is>
          <t>11020</t>
        </is>
      </c>
      <c r="B12" t="inlineStr">
        <is>
          <t>Altoona, PA</t>
        </is>
      </c>
      <c r="C12" s="12" t="n">
        <v>50837</v>
      </c>
      <c r="D12" s="4" t="n">
        <v>203449.8774816222</v>
      </c>
      <c r="E12" s="4" t="n">
        <v>66994</v>
      </c>
      <c r="F12" s="4" t="n">
        <v>895</v>
      </c>
      <c r="G12" t="inlineStr">
        <is>
          <t>2026Q2</t>
        </is>
      </c>
      <c r="H12" s="13" t="n">
        <v>6.414615384615384</v>
      </c>
      <c r="I12" t="n">
        <v>2024</v>
      </c>
    </row>
    <row r="13">
      <c r="A13" t="inlineStr">
        <is>
          <t>11100</t>
        </is>
      </c>
      <c r="B13" t="inlineStr">
        <is>
          <t>Amarillo, TX</t>
        </is>
      </c>
      <c r="C13" s="12" t="n">
        <v>105814</v>
      </c>
      <c r="D13" s="4" t="n">
        <v>238010.7404434015</v>
      </c>
      <c r="E13" s="4" t="n">
        <v>69595</v>
      </c>
      <c r="F13" s="4" t="n">
        <v>1097</v>
      </c>
      <c r="G13" t="inlineStr">
        <is>
          <t>2026Q2</t>
        </is>
      </c>
      <c r="H13" s="13" t="n">
        <v>6.414615384615384</v>
      </c>
      <c r="I13" t="n">
        <v>2024</v>
      </c>
    </row>
    <row r="14">
      <c r="A14" t="inlineStr">
        <is>
          <t>11180</t>
        </is>
      </c>
      <c r="B14" t="inlineStr">
        <is>
          <t>Ames, IA</t>
        </is>
      </c>
      <c r="C14" s="12" t="n">
        <v>50869</v>
      </c>
      <c r="D14" s="4" t="n">
        <v>283872.1580618605</v>
      </c>
      <c r="E14" s="4" t="n">
        <v>70873</v>
      </c>
      <c r="F14" s="4" t="n">
        <v>950</v>
      </c>
      <c r="G14" t="inlineStr">
        <is>
          <t>2026Q2</t>
        </is>
      </c>
      <c r="H14" s="13" t="n">
        <v>6.414615384615384</v>
      </c>
      <c r="I14" t="n">
        <v>2024</v>
      </c>
    </row>
    <row r="15">
      <c r="A15" t="inlineStr">
        <is>
          <t>11260</t>
        </is>
      </c>
      <c r="B15" t="inlineStr">
        <is>
          <t>Anchorage, AK</t>
        </is>
      </c>
      <c r="C15" s="12" t="n">
        <v>148919</v>
      </c>
      <c r="D15" s="4" t="n">
        <v>455549.283260919</v>
      </c>
      <c r="E15" s="4" t="n">
        <v>102698</v>
      </c>
      <c r="F15" s="4" t="n">
        <v>1491</v>
      </c>
      <c r="G15" t="inlineStr">
        <is>
          <t>2026Q2</t>
        </is>
      </c>
      <c r="H15" s="13" t="n">
        <v>6.414615384615384</v>
      </c>
      <c r="I15" t="n">
        <v>2024</v>
      </c>
    </row>
    <row r="16">
      <c r="A16" t="inlineStr">
        <is>
          <t>11460</t>
        </is>
      </c>
      <c r="B16" t="inlineStr">
        <is>
          <t>Ann Arbor, MI</t>
        </is>
      </c>
      <c r="C16" s="12" t="n">
        <v>151711</v>
      </c>
      <c r="D16" s="4" t="n">
        <v>461853.7102636059</v>
      </c>
      <c r="E16" s="4" t="n">
        <v>90523</v>
      </c>
      <c r="F16" s="4" t="n">
        <v>1554</v>
      </c>
      <c r="G16" t="inlineStr">
        <is>
          <t>2026Q2</t>
        </is>
      </c>
      <c r="H16" s="13" t="n">
        <v>6.414615384615384</v>
      </c>
      <c r="I16" t="n">
        <v>2024</v>
      </c>
    </row>
    <row r="17">
      <c r="A17" t="inlineStr">
        <is>
          <t>11500</t>
        </is>
      </c>
      <c r="B17" t="inlineStr">
        <is>
          <t>Anniston-Oxford, AL</t>
        </is>
      </c>
      <c r="C17" s="12" t="n">
        <v>44348</v>
      </c>
      <c r="D17" s="4" t="n">
        <v>210037.2941275497</v>
      </c>
      <c r="E17" s="4" t="n">
        <v>52719</v>
      </c>
      <c r="F17" s="4" t="n">
        <v>915</v>
      </c>
      <c r="G17" t="inlineStr">
        <is>
          <t>2026Q2</t>
        </is>
      </c>
      <c r="H17" s="13" t="n">
        <v>6.414615384615384</v>
      </c>
      <c r="I17" t="n">
        <v>2024</v>
      </c>
    </row>
    <row r="18">
      <c r="A18" t="inlineStr">
        <is>
          <t>11540</t>
        </is>
      </c>
      <c r="B18" t="inlineStr">
        <is>
          <t>Appleton, WI</t>
        </is>
      </c>
      <c r="C18" s="12" t="n">
        <v>102147</v>
      </c>
      <c r="D18" s="4" t="n">
        <v>331357.1112515803</v>
      </c>
      <c r="E18" s="4" t="n">
        <v>82501</v>
      </c>
      <c r="F18" s="4" t="n">
        <v>1164</v>
      </c>
      <c r="G18" t="inlineStr">
        <is>
          <t>2026Q2</t>
        </is>
      </c>
      <c r="H18" s="13" t="n">
        <v>6.414615384615384</v>
      </c>
      <c r="I18" t="n">
        <v>2024</v>
      </c>
    </row>
    <row r="19">
      <c r="A19" t="inlineStr">
        <is>
          <t>11700</t>
        </is>
      </c>
      <c r="B19" t="inlineStr">
        <is>
          <t>Asheville, NC</t>
        </is>
      </c>
      <c r="C19" s="12" t="n">
        <v>163942</v>
      </c>
      <c r="D19" s="4" t="n">
        <v>424878.650747539</v>
      </c>
      <c r="E19" s="4" t="n">
        <v>76275</v>
      </c>
      <c r="F19" s="4" t="n">
        <v>1396</v>
      </c>
      <c r="G19" t="inlineStr">
        <is>
          <t>2026Q2</t>
        </is>
      </c>
      <c r="H19" s="13" t="n">
        <v>6.414615384615384</v>
      </c>
      <c r="I19" t="n">
        <v>2024</v>
      </c>
    </row>
    <row r="20">
      <c r="A20" t="inlineStr">
        <is>
          <t>12020</t>
        </is>
      </c>
      <c r="B20" t="inlineStr">
        <is>
          <t>Athens-Clarke County, GA</t>
        </is>
      </c>
      <c r="C20" s="12" t="n">
        <v>88473</v>
      </c>
      <c r="D20" s="4" t="n">
        <v>384980.3048013939</v>
      </c>
      <c r="E20" s="4" t="n">
        <v>64951</v>
      </c>
      <c r="F20" s="4" t="n">
        <v>1238</v>
      </c>
      <c r="G20" t="inlineStr">
        <is>
          <t>2026Q2</t>
        </is>
      </c>
      <c r="H20" s="13" t="n">
        <v>6.414615384615384</v>
      </c>
      <c r="I20" t="n">
        <v>2024</v>
      </c>
    </row>
    <row r="21">
      <c r="A21" t="inlineStr">
        <is>
          <t>12060</t>
        </is>
      </c>
      <c r="B21" t="inlineStr">
        <is>
          <t>Atlanta-Sandy Springs-Roswell, GA</t>
        </is>
      </c>
      <c r="C21" s="12" t="n">
        <v>2390346</v>
      </c>
      <c r="D21" s="4" t="n">
        <v>422218.5315040363</v>
      </c>
      <c r="E21" s="4" t="n">
        <v>92344</v>
      </c>
      <c r="F21" s="4" t="n">
        <v>1770</v>
      </c>
      <c r="G21" t="inlineStr">
        <is>
          <t>2026Q2</t>
        </is>
      </c>
      <c r="H21" s="13" t="n">
        <v>6.414615384615384</v>
      </c>
      <c r="I21" t="n">
        <v>2024</v>
      </c>
    </row>
    <row r="22">
      <c r="A22" t="inlineStr">
        <is>
          <t>12100</t>
        </is>
      </c>
      <c r="B22" t="inlineStr">
        <is>
          <t>Atlantic City-Hammonton, NJ</t>
        </is>
      </c>
      <c r="C22" s="12" t="n">
        <v>156904</v>
      </c>
      <c r="D22" s="4" t="n">
        <v>445253.2781492094</v>
      </c>
      <c r="E22" s="4" t="n">
        <v>80806</v>
      </c>
      <c r="F22" s="4" t="n">
        <v>1467</v>
      </c>
      <c r="G22" t="inlineStr">
        <is>
          <t>2026Q2</t>
        </is>
      </c>
      <c r="H22" s="13" t="n">
        <v>6.414615384615384</v>
      </c>
      <c r="I22" t="n">
        <v>2024</v>
      </c>
    </row>
    <row r="23">
      <c r="A23" t="inlineStr">
        <is>
          <t>12220</t>
        </is>
      </c>
      <c r="B23" t="inlineStr">
        <is>
          <t>Auburn-Opelika, AL</t>
        </is>
      </c>
      <c r="C23" s="12" t="n">
        <v>79837</v>
      </c>
      <c r="D23" s="4" t="n">
        <v>305088.8222698073</v>
      </c>
      <c r="E23" s="4" t="n">
        <v>68336</v>
      </c>
      <c r="F23" s="4" t="n">
        <v>1111</v>
      </c>
      <c r="G23" t="inlineStr">
        <is>
          <t>2026Q2</t>
        </is>
      </c>
      <c r="H23" s="13" t="n">
        <v>6.414615384615384</v>
      </c>
      <c r="I23" t="n">
        <v>2024</v>
      </c>
    </row>
    <row r="24">
      <c r="A24" t="inlineStr">
        <is>
          <t>12260</t>
        </is>
      </c>
      <c r="B24" t="inlineStr">
        <is>
          <t>Augusta-Richmond County, GA-SC</t>
        </is>
      </c>
      <c r="C24" s="12" t="n">
        <v>250386</v>
      </c>
      <c r="D24" s="4" t="n">
        <v>286040.5614053865</v>
      </c>
      <c r="E24" s="4" t="n">
        <v>72176</v>
      </c>
      <c r="F24" s="4" t="n">
        <v>1243</v>
      </c>
      <c r="G24" t="inlineStr">
        <is>
          <t>2026Q2</t>
        </is>
      </c>
      <c r="H24" s="13" t="n">
        <v>6.414615384615384</v>
      </c>
      <c r="I24" t="n">
        <v>2024</v>
      </c>
    </row>
    <row r="25">
      <c r="A25" t="inlineStr">
        <is>
          <t>12420</t>
        </is>
      </c>
      <c r="B25" t="inlineStr">
        <is>
          <t>Austin-Round Rock-San Marcos, TX</t>
        </is>
      </c>
      <c r="C25" s="12" t="n">
        <v>1061155</v>
      </c>
      <c r="D25" s="4" t="n">
        <v>475371.3009310795</v>
      </c>
      <c r="E25" s="4" t="n">
        <v>99897</v>
      </c>
      <c r="F25" s="4" t="n">
        <v>1784</v>
      </c>
      <c r="G25" t="inlineStr">
        <is>
          <t>2026Q2</t>
        </is>
      </c>
      <c r="H25" s="13" t="n">
        <v>6.414615384615384</v>
      </c>
      <c r="I25" t="n">
        <v>2024</v>
      </c>
    </row>
    <row r="26">
      <c r="A26" t="inlineStr">
        <is>
          <t>12540</t>
        </is>
      </c>
      <c r="B26" t="inlineStr">
        <is>
          <t>Bakersfield-Delano, CA</t>
        </is>
      </c>
      <c r="C26" s="12" t="n">
        <v>292654</v>
      </c>
      <c r="D26" s="4" t="n">
        <v>383111.9169010454</v>
      </c>
      <c r="E26" s="4" t="n">
        <v>71596</v>
      </c>
      <c r="F26" s="4" t="n">
        <v>1479</v>
      </c>
      <c r="G26" t="inlineStr">
        <is>
          <t>2026Q2</t>
        </is>
      </c>
      <c r="H26" s="13" t="n">
        <v>6.414615384615384</v>
      </c>
      <c r="I26" t="n">
        <v>2024</v>
      </c>
    </row>
    <row r="27">
      <c r="A27" t="inlineStr">
        <is>
          <t>12580</t>
        </is>
      </c>
      <c r="B27" t="inlineStr">
        <is>
          <t>Baltimore-Columbia-Towson, MD</t>
        </is>
      </c>
      <c r="C27" s="12" t="n">
        <v>1140975</v>
      </c>
      <c r="D27" s="4" t="n">
        <v>467703.5852474303</v>
      </c>
      <c r="E27" s="4" t="n">
        <v>98666</v>
      </c>
      <c r="F27" s="4" t="n">
        <v>1633</v>
      </c>
      <c r="G27" t="inlineStr">
        <is>
          <t>2026Q2</t>
        </is>
      </c>
      <c r="H27" s="13" t="n">
        <v>6.414615384615384</v>
      </c>
      <c r="I27" t="n">
        <v>2024</v>
      </c>
    </row>
    <row r="28">
      <c r="A28" t="inlineStr">
        <is>
          <t>12620</t>
        </is>
      </c>
      <c r="B28" t="inlineStr">
        <is>
          <t>Bangor, ME</t>
        </is>
      </c>
      <c r="C28" s="12" t="n">
        <v>64892</v>
      </c>
      <c r="D28" s="4" t="n">
        <v>287139.819150254</v>
      </c>
      <c r="E28" s="4" t="n">
        <v>66506</v>
      </c>
      <c r="F28" s="4" t="n">
        <v>1015</v>
      </c>
      <c r="G28" t="inlineStr">
        <is>
          <t>2026Q2</t>
        </is>
      </c>
      <c r="H28" s="13" t="n">
        <v>6.414615384615384</v>
      </c>
      <c r="I28" t="n">
        <v>2024</v>
      </c>
    </row>
    <row r="29">
      <c r="A29" t="inlineStr">
        <is>
          <t>12700</t>
        </is>
      </c>
      <c r="B29" t="inlineStr">
        <is>
          <t>Barnstable Town, MA</t>
        </is>
      </c>
      <c r="C29" s="12" t="n">
        <v>112945</v>
      </c>
      <c r="D29" s="4" t="n">
        <v>752001.842896971</v>
      </c>
      <c r="E29" s="4" t="n">
        <v>87925</v>
      </c>
      <c r="F29" s="4" t="n">
        <v>1577</v>
      </c>
      <c r="G29" t="inlineStr">
        <is>
          <t>2026Q2</t>
        </is>
      </c>
      <c r="H29" s="13" t="n">
        <v>6.414615384615384</v>
      </c>
      <c r="I29" t="n">
        <v>2024</v>
      </c>
    </row>
    <row r="30">
      <c r="A30" t="inlineStr">
        <is>
          <t>12940</t>
        </is>
      </c>
      <c r="B30" t="inlineStr">
        <is>
          <t>Baton Rouge, LA</t>
        </is>
      </c>
      <c r="C30" s="12" t="n">
        <v>343718</v>
      </c>
      <c r="D30" s="4" t="n">
        <v>262983.4714425733</v>
      </c>
      <c r="E30" s="4" t="n">
        <v>69293</v>
      </c>
      <c r="F30" s="4" t="n">
        <v>1138</v>
      </c>
      <c r="G30" t="inlineStr">
        <is>
          <t>2026Q2</t>
        </is>
      </c>
      <c r="H30" s="13" t="n">
        <v>6.414615384615384</v>
      </c>
      <c r="I30" t="n">
        <v>2024</v>
      </c>
    </row>
    <row r="31">
      <c r="A31" t="inlineStr">
        <is>
          <t>12980</t>
        </is>
      </c>
      <c r="B31" t="inlineStr">
        <is>
          <t>Battle Creek, MI</t>
        </is>
      </c>
      <c r="C31" s="12" t="n">
        <v>53260</v>
      </c>
      <c r="D31" s="4" t="n">
        <v>205867.3939995041</v>
      </c>
      <c r="E31" s="4" t="n">
        <v>65024</v>
      </c>
      <c r="F31" s="4" t="n">
        <v>991</v>
      </c>
      <c r="G31" t="inlineStr">
        <is>
          <t>2026Q2</t>
        </is>
      </c>
      <c r="H31" s="13" t="n">
        <v>6.414615384615384</v>
      </c>
      <c r="I31" t="n">
        <v>2024</v>
      </c>
    </row>
    <row r="32">
      <c r="A32" t="inlineStr">
        <is>
          <t>13020</t>
        </is>
      </c>
      <c r="B32" t="inlineStr">
        <is>
          <t>Bay City, MI</t>
        </is>
      </c>
      <c r="C32" s="12" t="n">
        <v>46193</v>
      </c>
      <c r="D32" s="4" t="n">
        <v>194215.408742178</v>
      </c>
      <c r="E32" s="4" t="n">
        <v>64694</v>
      </c>
      <c r="F32" s="4" t="n">
        <v>976</v>
      </c>
      <c r="G32" t="inlineStr">
        <is>
          <t>2026Q2</t>
        </is>
      </c>
      <c r="H32" s="13" t="n">
        <v>6.414615384615384</v>
      </c>
      <c r="I32" t="n">
        <v>2024</v>
      </c>
    </row>
    <row r="33">
      <c r="A33" t="inlineStr">
        <is>
          <t>13140</t>
        </is>
      </c>
      <c r="B33" t="inlineStr">
        <is>
          <t>Beaumont-Port Arthur, TX</t>
        </is>
      </c>
      <c r="C33" s="12" t="n">
        <v>152586</v>
      </c>
      <c r="D33" s="4" t="n">
        <v>181079.6352583587</v>
      </c>
      <c r="E33" s="4" t="n">
        <v>65775</v>
      </c>
      <c r="F33" s="4" t="n">
        <v>1134</v>
      </c>
      <c r="G33" t="inlineStr">
        <is>
          <t>2026Q2</t>
        </is>
      </c>
      <c r="H33" s="13" t="n">
        <v>6.414615384615384</v>
      </c>
      <c r="I33" t="n">
        <v>2024</v>
      </c>
    </row>
    <row r="34">
      <c r="A34" t="inlineStr">
        <is>
          <t>13220</t>
        </is>
      </c>
      <c r="B34" t="inlineStr">
        <is>
          <t>Beckley, WV</t>
        </is>
      </c>
      <c r="C34" s="12" t="n">
        <v>45634</v>
      </c>
      <c r="D34" s="4" t="n">
        <v>166898.1801357187</v>
      </c>
      <c r="E34" s="4" t="n">
        <v>51327</v>
      </c>
      <c r="F34" s="4" t="n">
        <v>935</v>
      </c>
      <c r="G34" t="inlineStr">
        <is>
          <t>2026Q2</t>
        </is>
      </c>
      <c r="H34" s="13" t="n">
        <v>6.414615384615384</v>
      </c>
      <c r="I34" t="n">
        <v>2024</v>
      </c>
    </row>
    <row r="35">
      <c r="A35" t="inlineStr">
        <is>
          <t>13380</t>
        </is>
      </c>
      <c r="B35" t="inlineStr">
        <is>
          <t>Bellingham, WA</t>
        </is>
      </c>
      <c r="C35" s="12" t="n">
        <v>97076</v>
      </c>
      <c r="D35" s="4" t="n">
        <v>650187.4805449899</v>
      </c>
      <c r="E35" s="4" t="n">
        <v>86162</v>
      </c>
      <c r="F35" s="4" t="n">
        <v>1569</v>
      </c>
      <c r="G35" t="inlineStr">
        <is>
          <t>2026Q2</t>
        </is>
      </c>
      <c r="H35" s="13" t="n">
        <v>6.414615384615384</v>
      </c>
      <c r="I35" t="n">
        <v>2024</v>
      </c>
    </row>
    <row r="36">
      <c r="A36" t="inlineStr">
        <is>
          <t>13460</t>
        </is>
      </c>
      <c r="B36" t="inlineStr">
        <is>
          <t>Bend, OR</t>
        </is>
      </c>
      <c r="C36" s="12" t="n">
        <v>108005</v>
      </c>
      <c r="D36" s="4" t="n">
        <v>685047.9329028426</v>
      </c>
      <c r="E36" s="4" t="n">
        <v>95979</v>
      </c>
      <c r="F36" s="4" t="n">
        <v>1834</v>
      </c>
      <c r="G36" t="inlineStr">
        <is>
          <t>2026Q2</t>
        </is>
      </c>
      <c r="H36" s="13" t="n">
        <v>6.414615384615384</v>
      </c>
      <c r="I36" t="n">
        <v>2024</v>
      </c>
    </row>
    <row r="37">
      <c r="A37" t="inlineStr">
        <is>
          <t>13740</t>
        </is>
      </c>
      <c r="B37" t="inlineStr">
        <is>
          <t>Billings, MT</t>
        </is>
      </c>
      <c r="C37" s="12" t="n">
        <v>78816</v>
      </c>
      <c r="D37" s="4" t="n">
        <v>397822.2511334516</v>
      </c>
      <c r="E37" s="4" t="n">
        <v>77770</v>
      </c>
      <c r="F37" s="4" t="n">
        <v>1170</v>
      </c>
      <c r="G37" t="inlineStr">
        <is>
          <t>2026Q2</t>
        </is>
      </c>
      <c r="H37" s="13" t="n">
        <v>6.414615384615384</v>
      </c>
      <c r="I37" t="n">
        <v>2024</v>
      </c>
    </row>
    <row r="38">
      <c r="A38" t="inlineStr">
        <is>
          <t>13780</t>
        </is>
      </c>
      <c r="B38" t="inlineStr">
        <is>
          <t>Binghamton, NY</t>
        </is>
      </c>
      <c r="C38" s="12" t="n">
        <v>102127</v>
      </c>
      <c r="D38" s="4" t="n">
        <v>202689.2341070609</v>
      </c>
      <c r="E38" s="4" t="n">
        <v>65599</v>
      </c>
      <c r="F38" s="4" t="n">
        <v>981</v>
      </c>
      <c r="G38" t="inlineStr">
        <is>
          <t>2026Q2</t>
        </is>
      </c>
      <c r="H38" s="13" t="n">
        <v>6.414615384615384</v>
      </c>
      <c r="I38" t="n">
        <v>2024</v>
      </c>
    </row>
    <row r="39">
      <c r="A39" t="inlineStr">
        <is>
          <t>13820</t>
        </is>
      </c>
      <c r="B39" t="inlineStr">
        <is>
          <t>Birmingham, AL</t>
        </is>
      </c>
      <c r="C39" s="12" t="n">
        <v>476816</v>
      </c>
      <c r="D39" s="4" t="n">
        <v>284940.6593406594</v>
      </c>
      <c r="E39" s="4" t="n">
        <v>74954</v>
      </c>
      <c r="F39" s="4" t="n">
        <v>1262</v>
      </c>
      <c r="G39" t="inlineStr">
        <is>
          <t>2026Q2</t>
        </is>
      </c>
      <c r="H39" s="13" t="n">
        <v>6.414615384615384</v>
      </c>
      <c r="I39" t="n">
        <v>2024</v>
      </c>
    </row>
    <row r="40">
      <c r="A40" t="inlineStr">
        <is>
          <t>13900</t>
        </is>
      </c>
      <c r="B40" t="inlineStr">
        <is>
          <t>Bismarck, ND</t>
        </is>
      </c>
      <c r="C40" s="12" t="n">
        <v>58657</v>
      </c>
      <c r="D40" s="4" t="n">
        <v>377743.43129121</v>
      </c>
      <c r="E40" s="4" t="n">
        <v>86769</v>
      </c>
      <c r="F40" s="4" t="n">
        <v>935</v>
      </c>
      <c r="G40" t="inlineStr">
        <is>
          <t>2026Q2</t>
        </is>
      </c>
      <c r="H40" s="13" t="n">
        <v>6.414615384615384</v>
      </c>
      <c r="I40" t="n">
        <v>2024</v>
      </c>
    </row>
    <row r="41">
      <c r="A41" t="inlineStr">
        <is>
          <t>13980</t>
        </is>
      </c>
      <c r="B41" t="inlineStr">
        <is>
          <t>Blacksburg-Christiansburg-Radford, VA</t>
        </is>
      </c>
      <c r="C41" s="12" t="n">
        <v>70948</v>
      </c>
      <c r="D41" s="4" t="n">
        <v>320624.9790058554</v>
      </c>
      <c r="E41" s="4" t="n">
        <v>65518</v>
      </c>
      <c r="F41" s="4" t="n">
        <v>1123</v>
      </c>
      <c r="G41" t="inlineStr">
        <is>
          <t>2026Q2</t>
        </is>
      </c>
      <c r="H41" s="13" t="n">
        <v>6.414615384615384</v>
      </c>
      <c r="I41" t="n">
        <v>2024</v>
      </c>
    </row>
    <row r="42">
      <c r="A42" t="inlineStr">
        <is>
          <t>14010</t>
        </is>
      </c>
      <c r="B42" t="inlineStr">
        <is>
          <t>Bloomington, IL</t>
        </is>
      </c>
      <c r="C42" s="12" t="n">
        <v>72947</v>
      </c>
      <c r="D42" s="4" t="n">
        <v>283053.5279315552</v>
      </c>
      <c r="E42" s="4" t="n">
        <v>81240</v>
      </c>
      <c r="F42" s="4" t="n">
        <v>1034</v>
      </c>
      <c r="G42" t="inlineStr">
        <is>
          <t>2026Q2</t>
        </is>
      </c>
      <c r="H42" s="13" t="n">
        <v>6.414615384615384</v>
      </c>
      <c r="I42" t="n">
        <v>2024</v>
      </c>
    </row>
    <row r="43">
      <c r="A43" t="inlineStr">
        <is>
          <t>14020</t>
        </is>
      </c>
      <c r="B43" t="inlineStr">
        <is>
          <t>Bloomington, IN</t>
        </is>
      </c>
      <c r="C43" s="12" t="n">
        <v>68661</v>
      </c>
      <c r="D43" s="4" t="n">
        <v>295675.4289436644</v>
      </c>
      <c r="E43" s="4" t="n">
        <v>67243</v>
      </c>
      <c r="F43" s="4" t="n">
        <v>1153</v>
      </c>
      <c r="G43" t="inlineStr">
        <is>
          <t>2026Q2</t>
        </is>
      </c>
      <c r="H43" s="13" t="n">
        <v>6.414615384615384</v>
      </c>
      <c r="I43" t="n">
        <v>2024</v>
      </c>
    </row>
    <row r="44">
      <c r="A44" t="inlineStr">
        <is>
          <t>14260</t>
        </is>
      </c>
      <c r="B44" t="inlineStr">
        <is>
          <t>Boise City, ID</t>
        </is>
      </c>
      <c r="C44" s="12" t="n">
        <v>323571</v>
      </c>
      <c r="D44" s="4" t="n">
        <v>521920.4741937154</v>
      </c>
      <c r="E44" s="4" t="n">
        <v>88695</v>
      </c>
      <c r="F44" s="4" t="n">
        <v>1628</v>
      </c>
      <c r="G44" t="inlineStr">
        <is>
          <t>2026Q2</t>
        </is>
      </c>
      <c r="H44" s="13" t="n">
        <v>6.414615384615384</v>
      </c>
      <c r="I44" t="n">
        <v>2024</v>
      </c>
    </row>
    <row r="45">
      <c r="A45" t="inlineStr">
        <is>
          <t>14460</t>
        </is>
      </c>
      <c r="B45" t="inlineStr">
        <is>
          <t>Boston-Cambridge-Newton, MA-NH</t>
        </is>
      </c>
      <c r="C45" s="12" t="n">
        <v>1970240</v>
      </c>
      <c r="D45" s="4" t="n">
        <v>783695.1879082429</v>
      </c>
      <c r="E45" s="4" t="n">
        <v>117825</v>
      </c>
      <c r="F45" s="4" t="n">
        <v>2093</v>
      </c>
      <c r="G45" t="inlineStr">
        <is>
          <t>2026Q2</t>
        </is>
      </c>
      <c r="H45" s="13" t="n">
        <v>6.414615384615384</v>
      </c>
      <c r="I45" t="n">
        <v>2024</v>
      </c>
    </row>
    <row r="46">
      <c r="A46" t="inlineStr">
        <is>
          <t>14500</t>
        </is>
      </c>
      <c r="B46" t="inlineStr">
        <is>
          <t>Boulder, CO</t>
        </is>
      </c>
      <c r="C46" s="12" t="n">
        <v>140238</v>
      </c>
      <c r="D46" s="4" t="n">
        <v>826428.3378101392</v>
      </c>
      <c r="E46" s="4" t="n">
        <v>102697</v>
      </c>
      <c r="F46" s="4" t="n">
        <v>1966</v>
      </c>
      <c r="G46" t="inlineStr">
        <is>
          <t>2026Q2</t>
        </is>
      </c>
      <c r="H46" s="13" t="n">
        <v>6.414615384615384</v>
      </c>
      <c r="I46" t="n">
        <v>2024</v>
      </c>
    </row>
    <row r="47">
      <c r="A47" t="inlineStr">
        <is>
          <t>14540</t>
        </is>
      </c>
      <c r="B47" t="inlineStr">
        <is>
          <t>Bowling Green, KY</t>
        </is>
      </c>
      <c r="C47" s="12" t="n">
        <v>77222</v>
      </c>
      <c r="D47" s="4" t="n">
        <v>277233.8141129293</v>
      </c>
      <c r="E47" s="4" t="n">
        <v>65869</v>
      </c>
      <c r="F47" s="4" t="n">
        <v>1024</v>
      </c>
      <c r="G47" t="inlineStr">
        <is>
          <t>2026Q2</t>
        </is>
      </c>
      <c r="H47" s="13" t="n">
        <v>6.414615384615384</v>
      </c>
      <c r="I47" t="n">
        <v>2024</v>
      </c>
    </row>
    <row r="48">
      <c r="A48" t="inlineStr">
        <is>
          <t>14580</t>
        </is>
      </c>
      <c r="B48" t="inlineStr">
        <is>
          <t>Bozeman, MT</t>
        </is>
      </c>
      <c r="C48" s="12" t="n">
        <v>53802</v>
      </c>
      <c r="D48" s="4" t="n">
        <v>766112.505003145</v>
      </c>
      <c r="E48" s="4" t="n">
        <v>103918</v>
      </c>
      <c r="F48" s="4" t="n">
        <v>1917</v>
      </c>
      <c r="G48" t="inlineStr">
        <is>
          <t>2026Q2</t>
        </is>
      </c>
      <c r="H48" s="13" t="n">
        <v>6.414615384615384</v>
      </c>
      <c r="I48" t="n">
        <v>2024</v>
      </c>
    </row>
    <row r="49">
      <c r="A49" t="inlineStr">
        <is>
          <t>14740</t>
        </is>
      </c>
      <c r="B49" t="inlineStr">
        <is>
          <t>Bremerton-Silverdale-Port Orchard, WA</t>
        </is>
      </c>
      <c r="C49" s="12" t="n">
        <v>112022</v>
      </c>
      <c r="D49" s="4" t="n">
        <v>587962.4466962393</v>
      </c>
      <c r="E49" s="4" t="n">
        <v>109052</v>
      </c>
      <c r="F49" s="4" t="n">
        <v>1869</v>
      </c>
      <c r="G49" t="inlineStr">
        <is>
          <t>2026Q2</t>
        </is>
      </c>
      <c r="H49" s="13" t="n">
        <v>6.414615384615384</v>
      </c>
      <c r="I49" t="n">
        <v>2024</v>
      </c>
    </row>
    <row r="50">
      <c r="A50" t="inlineStr">
        <is>
          <t>14860</t>
        </is>
      </c>
      <c r="B50" t="inlineStr">
        <is>
          <t>Bridgeport-Stamford-Danbury, CT</t>
        </is>
      </c>
      <c r="C50" s="12" t="n">
        <v>359988</v>
      </c>
      <c r="D50" s="4" t="n">
        <v>791452.0544554455</v>
      </c>
      <c r="E50" s="4" t="n">
        <v>116402</v>
      </c>
      <c r="F50" s="4" t="n">
        <v>1895</v>
      </c>
      <c r="G50" t="inlineStr">
        <is>
          <t>2026Q2</t>
        </is>
      </c>
      <c r="H50" s="13" t="n">
        <v>6.414615384615384</v>
      </c>
      <c r="I50" t="n">
        <v>2024</v>
      </c>
    </row>
    <row r="51">
      <c r="A51" t="inlineStr">
        <is>
          <t>15180</t>
        </is>
      </c>
      <c r="B51" t="inlineStr">
        <is>
          <t>Brownsville-Harlingen, TX</t>
        </is>
      </c>
      <c r="C51" s="12" t="n">
        <v>147101</v>
      </c>
      <c r="D51" s="4" t="n">
        <v>152905.8652339378</v>
      </c>
      <c r="E51" s="4" t="n">
        <v>53267</v>
      </c>
      <c r="F51" s="4" t="n">
        <v>966</v>
      </c>
      <c r="G51" t="inlineStr">
        <is>
          <t>2026Q2</t>
        </is>
      </c>
      <c r="H51" s="13" t="n">
        <v>6.414615384615384</v>
      </c>
      <c r="I51" t="n">
        <v>2024</v>
      </c>
    </row>
    <row r="52">
      <c r="A52" t="inlineStr">
        <is>
          <t>15260</t>
        </is>
      </c>
      <c r="B52" t="inlineStr">
        <is>
          <t>Brunswick-St. Simons, GA</t>
        </is>
      </c>
      <c r="C52" s="12" t="n">
        <v>49751</v>
      </c>
      <c r="D52" s="4" t="n">
        <v>285872.5975325108</v>
      </c>
      <c r="E52" s="4" t="n">
        <v>69871</v>
      </c>
      <c r="F52" s="4" t="n">
        <v>1067</v>
      </c>
      <c r="G52" t="inlineStr">
        <is>
          <t>2026Q2</t>
        </is>
      </c>
      <c r="H52" s="13" t="n">
        <v>6.414615384615384</v>
      </c>
      <c r="I52" t="n">
        <v>2024</v>
      </c>
    </row>
    <row r="53">
      <c r="A53" t="inlineStr">
        <is>
          <t>15380</t>
        </is>
      </c>
      <c r="B53" t="inlineStr">
        <is>
          <t>Buffalo-Cheektowaga, NY</t>
        </is>
      </c>
      <c r="C53" s="12" t="n">
        <v>504693</v>
      </c>
      <c r="D53" s="4" t="n">
        <v>286339.4627165453</v>
      </c>
      <c r="E53" s="4" t="n">
        <v>72300</v>
      </c>
      <c r="F53" s="4" t="n">
        <v>1114</v>
      </c>
      <c r="G53" t="inlineStr">
        <is>
          <t>2026Q2</t>
        </is>
      </c>
      <c r="H53" s="13" t="n">
        <v>6.414615384615384</v>
      </c>
      <c r="I53" t="n">
        <v>2024</v>
      </c>
    </row>
    <row r="54">
      <c r="A54" t="inlineStr">
        <is>
          <t>15500</t>
        </is>
      </c>
      <c r="B54" t="inlineStr">
        <is>
          <t>Burlington, NC</t>
        </is>
      </c>
      <c r="C54" s="12" t="n">
        <v>73880</v>
      </c>
      <c r="D54" s="4" t="n">
        <v>310639.653544723</v>
      </c>
      <c r="E54" s="4" t="n">
        <v>65966</v>
      </c>
      <c r="F54" s="4" t="n">
        <v>1218</v>
      </c>
      <c r="G54" t="inlineStr">
        <is>
          <t>2026Q2</t>
        </is>
      </c>
      <c r="H54" s="13" t="n">
        <v>6.414615384615384</v>
      </c>
      <c r="I54" t="n">
        <v>2024</v>
      </c>
    </row>
    <row r="55">
      <c r="A55" t="inlineStr">
        <is>
          <t>15540</t>
        </is>
      </c>
      <c r="B55" t="inlineStr">
        <is>
          <t>Burlington-South Burlington, VT</t>
        </is>
      </c>
      <c r="C55" s="12" t="n">
        <v>99144</v>
      </c>
      <c r="D55" s="4" t="n">
        <v>498570.1931532187</v>
      </c>
      <c r="E55" s="4" t="n">
        <v>89615</v>
      </c>
      <c r="F55" s="4" t="n">
        <v>1631</v>
      </c>
      <c r="G55" t="inlineStr">
        <is>
          <t>2026Q2</t>
        </is>
      </c>
      <c r="H55" s="13" t="n">
        <v>6.414615384615384</v>
      </c>
      <c r="I55" t="n">
        <v>2024</v>
      </c>
    </row>
    <row r="56">
      <c r="A56" t="inlineStr">
        <is>
          <t>15940</t>
        </is>
      </c>
      <c r="B56" t="inlineStr">
        <is>
          <t>Canton-Massillon, OH</t>
        </is>
      </c>
      <c r="C56" s="12" t="n">
        <v>167576</v>
      </c>
      <c r="D56" s="4" t="n">
        <v>249477.0529068299</v>
      </c>
      <c r="E56" s="4" t="n">
        <v>69597</v>
      </c>
      <c r="F56" s="4" t="n">
        <v>930</v>
      </c>
      <c r="G56" t="inlineStr">
        <is>
          <t>2026Q2</t>
        </is>
      </c>
      <c r="H56" s="13" t="n">
        <v>6.414615384615384</v>
      </c>
      <c r="I56" t="n">
        <v>2024</v>
      </c>
    </row>
    <row r="57">
      <c r="A57" t="inlineStr">
        <is>
          <t>15980</t>
        </is>
      </c>
      <c r="B57" t="inlineStr">
        <is>
          <t>Cape Coral-Fort Myers, FL</t>
        </is>
      </c>
      <c r="C57" s="12" t="n">
        <v>337411</v>
      </c>
      <c r="D57" s="4" t="n">
        <v>383354.6970771368</v>
      </c>
      <c r="E57" s="4" t="n">
        <v>83602</v>
      </c>
      <c r="F57" s="4" t="n">
        <v>1871</v>
      </c>
      <c r="G57" t="inlineStr">
        <is>
          <t>2026Q2</t>
        </is>
      </c>
      <c r="H57" s="13" t="n">
        <v>6.414615384615384</v>
      </c>
      <c r="I57" t="n">
        <v>2024</v>
      </c>
    </row>
    <row r="58">
      <c r="A58" t="inlineStr">
        <is>
          <t>16020</t>
        </is>
      </c>
      <c r="B58" t="inlineStr">
        <is>
          <t>Cape Girardeau, MO-IL</t>
        </is>
      </c>
      <c r="C58" s="12" t="n">
        <v>38645</v>
      </c>
      <c r="D58" s="4" t="n">
        <v>247679.198414692</v>
      </c>
      <c r="E58" s="4" t="n">
        <v>65809</v>
      </c>
      <c r="F58" s="4" t="n">
        <v>890</v>
      </c>
      <c r="G58" t="inlineStr">
        <is>
          <t>2026Q2</t>
        </is>
      </c>
      <c r="H58" s="13" t="n">
        <v>6.414615384615384</v>
      </c>
      <c r="I58" t="n">
        <v>2024</v>
      </c>
    </row>
    <row r="59">
      <c r="A59" t="inlineStr">
        <is>
          <t>16180</t>
        </is>
      </c>
      <c r="B59" t="inlineStr">
        <is>
          <t>Carson City, NV</t>
        </is>
      </c>
      <c r="C59" s="12" t="n">
        <v>22864</v>
      </c>
      <c r="D59" s="4" t="n">
        <v>503235.4465220643</v>
      </c>
      <c r="E59" s="4" t="n">
        <v>62948</v>
      </c>
      <c r="F59" s="4" t="n">
        <v>1495</v>
      </c>
      <c r="G59" t="inlineStr">
        <is>
          <t>2026Q2</t>
        </is>
      </c>
      <c r="H59" s="13" t="n">
        <v>6.414615384615384</v>
      </c>
      <c r="I59" t="n">
        <v>2024</v>
      </c>
    </row>
    <row r="60">
      <c r="A60" t="inlineStr">
        <is>
          <t>16220</t>
        </is>
      </c>
      <c r="B60" t="inlineStr">
        <is>
          <t>Casper, WY</t>
        </is>
      </c>
      <c r="C60" s="12" t="n">
        <v>35575</v>
      </c>
      <c r="D60" s="4" t="n">
        <v>350316.949122338</v>
      </c>
      <c r="E60" s="4" t="n">
        <v>71381</v>
      </c>
      <c r="F60" s="4" t="n">
        <v>997</v>
      </c>
      <c r="G60" t="inlineStr">
        <is>
          <t>2026Q2</t>
        </is>
      </c>
      <c r="H60" s="13" t="n">
        <v>6.414615384615384</v>
      </c>
      <c r="I60" t="n">
        <v>2024</v>
      </c>
    </row>
    <row r="61">
      <c r="A61" t="inlineStr">
        <is>
          <t>16300</t>
        </is>
      </c>
      <c r="B61" t="inlineStr">
        <is>
          <t>Cedar Rapids, IA</t>
        </is>
      </c>
      <c r="C61" s="12" t="n">
        <v>116781</v>
      </c>
      <c r="D61" s="4" t="n">
        <v>247257.6</v>
      </c>
      <c r="E61" s="4" t="n">
        <v>75295</v>
      </c>
      <c r="F61" s="4" t="n">
        <v>933</v>
      </c>
      <c r="G61" t="inlineStr">
        <is>
          <t>2026Q2</t>
        </is>
      </c>
      <c r="H61" s="13" t="n">
        <v>6.414615384615384</v>
      </c>
      <c r="I61" t="n">
        <v>2024</v>
      </c>
    </row>
    <row r="62">
      <c r="A62" t="inlineStr">
        <is>
          <t>16540</t>
        </is>
      </c>
      <c r="B62" t="inlineStr">
        <is>
          <t>Chambersburg, PA</t>
        </is>
      </c>
      <c r="C62" s="12" t="n">
        <v>63638</v>
      </c>
      <c r="D62" s="4" t="n">
        <v>304954.4198538336</v>
      </c>
      <c r="E62" s="4" t="n">
        <v>74019</v>
      </c>
      <c r="F62" s="4" t="n">
        <v>1117</v>
      </c>
      <c r="G62" t="inlineStr">
        <is>
          <t>2026Q2</t>
        </is>
      </c>
      <c r="H62" s="13" t="n">
        <v>6.414615384615384</v>
      </c>
      <c r="I62" t="n">
        <v>2024</v>
      </c>
    </row>
    <row r="63">
      <c r="A63" t="inlineStr">
        <is>
          <t>16580</t>
        </is>
      </c>
      <c r="B63" t="inlineStr">
        <is>
          <t>Champaign-Urbana, IL</t>
        </is>
      </c>
      <c r="C63" s="12" t="n">
        <v>102844</v>
      </c>
      <c r="D63" s="4" t="n">
        <v>261605.6985018981</v>
      </c>
      <c r="E63" s="4" t="n">
        <v>64980</v>
      </c>
      <c r="F63" s="4" t="n">
        <v>1103</v>
      </c>
      <c r="G63" t="inlineStr">
        <is>
          <t>2026Q2</t>
        </is>
      </c>
      <c r="H63" s="13" t="n">
        <v>6.414615384615384</v>
      </c>
      <c r="I63" t="n">
        <v>2024</v>
      </c>
    </row>
    <row r="64">
      <c r="A64" t="inlineStr">
        <is>
          <t>16620</t>
        </is>
      </c>
      <c r="B64" t="inlineStr">
        <is>
          <t>Charleston, WV</t>
        </is>
      </c>
      <c r="C64" s="12" t="n">
        <v>86637</v>
      </c>
      <c r="D64" s="4" t="n">
        <v>163084.6783377112</v>
      </c>
      <c r="E64" s="4" t="n">
        <v>61625</v>
      </c>
      <c r="F64" s="4" t="n">
        <v>851</v>
      </c>
      <c r="G64" t="inlineStr">
        <is>
          <t>2026Q2</t>
        </is>
      </c>
      <c r="H64" s="13" t="n">
        <v>6.414615384615384</v>
      </c>
      <c r="I64" t="n">
        <v>2024</v>
      </c>
    </row>
    <row r="65">
      <c r="A65" t="inlineStr">
        <is>
          <t>16700</t>
        </is>
      </c>
      <c r="B65" t="inlineStr">
        <is>
          <t>Charleston-North Charleston, SC</t>
        </is>
      </c>
      <c r="C65" s="12" t="n">
        <v>353647</v>
      </c>
      <c r="D65" s="4" t="n">
        <v>508184.4001942691</v>
      </c>
      <c r="E65" s="4" t="n">
        <v>90307</v>
      </c>
      <c r="F65" s="4" t="n">
        <v>1714</v>
      </c>
      <c r="G65" t="inlineStr">
        <is>
          <t>2026Q2</t>
        </is>
      </c>
      <c r="H65" s="13" t="n">
        <v>6.414615384615384</v>
      </c>
      <c r="I65" t="n">
        <v>2024</v>
      </c>
    </row>
    <row r="66">
      <c r="A66" t="inlineStr">
        <is>
          <t>16740</t>
        </is>
      </c>
      <c r="B66" t="inlineStr">
        <is>
          <t>Charlotte-Concord-Gastonia, NC-SC</t>
        </is>
      </c>
      <c r="C66" s="12" t="n">
        <v>1128197</v>
      </c>
      <c r="D66" s="4" t="n">
        <v>421659.0012020544</v>
      </c>
      <c r="E66" s="4" t="n">
        <v>85938</v>
      </c>
      <c r="F66" s="4" t="n">
        <v>1594</v>
      </c>
      <c r="G66" t="inlineStr">
        <is>
          <t>2026Q2</t>
        </is>
      </c>
      <c r="H66" s="13" t="n">
        <v>6.414615384615384</v>
      </c>
      <c r="I66" t="n">
        <v>2024</v>
      </c>
    </row>
    <row r="67">
      <c r="A67" t="inlineStr">
        <is>
          <t>16820</t>
        </is>
      </c>
      <c r="B67" t="inlineStr">
        <is>
          <t>Charlottesville, VA</t>
        </is>
      </c>
      <c r="C67" s="12" t="n">
        <v>92172</v>
      </c>
      <c r="D67" s="4" t="n">
        <v>526755.7641225429</v>
      </c>
      <c r="E67" s="4" t="n">
        <v>95796</v>
      </c>
      <c r="F67" s="4" t="n">
        <v>1542</v>
      </c>
      <c r="G67" t="inlineStr">
        <is>
          <t>2026Q2</t>
        </is>
      </c>
      <c r="H67" s="13" t="n">
        <v>6.414615384615384</v>
      </c>
      <c r="I67" t="n">
        <v>2024</v>
      </c>
    </row>
    <row r="68">
      <c r="A68" t="inlineStr">
        <is>
          <t>16860</t>
        </is>
      </c>
      <c r="B68" t="inlineStr">
        <is>
          <t>Chattanooga, TN-GA</t>
        </is>
      </c>
      <c r="C68" s="12" t="n">
        <v>239474</v>
      </c>
      <c r="D68" s="4" t="n">
        <v>338843.610267734</v>
      </c>
      <c r="E68" s="4" t="n">
        <v>75076</v>
      </c>
      <c r="F68" s="4" t="n">
        <v>1265</v>
      </c>
      <c r="G68" t="inlineStr">
        <is>
          <t>2026Q2</t>
        </is>
      </c>
      <c r="H68" s="13" t="n">
        <v>6.414615384615384</v>
      </c>
      <c r="I68" t="n">
        <v>2024</v>
      </c>
    </row>
    <row r="69">
      <c r="A69" t="inlineStr">
        <is>
          <t>16940</t>
        </is>
      </c>
      <c r="B69" t="inlineStr">
        <is>
          <t>Cheyenne, WY</t>
        </is>
      </c>
      <c r="C69" s="12" t="n">
        <v>45419</v>
      </c>
      <c r="D69" s="4" t="n">
        <v>428572.3670419908</v>
      </c>
      <c r="E69" s="4" t="n">
        <v>83258</v>
      </c>
      <c r="F69" s="4" t="n">
        <v>1217</v>
      </c>
      <c r="G69" t="inlineStr">
        <is>
          <t>2026Q2</t>
        </is>
      </c>
      <c r="H69" s="13" t="n">
        <v>6.414615384615384</v>
      </c>
      <c r="I69" t="n">
        <v>2024</v>
      </c>
    </row>
    <row r="70">
      <c r="A70" t="inlineStr">
        <is>
          <t>16980</t>
        </is>
      </c>
      <c r="B70" t="inlineStr">
        <is>
          <t>Chicago-Naperville-Elgin, IL-IN</t>
        </is>
      </c>
      <c r="C70" s="12" t="n">
        <v>3690402</v>
      </c>
      <c r="D70" s="4" t="n">
        <v>411791.1469322936</v>
      </c>
      <c r="E70" s="4" t="n">
        <v>90770</v>
      </c>
      <c r="F70" s="4" t="n">
        <v>1469</v>
      </c>
      <c r="G70" t="inlineStr">
        <is>
          <t>2026Q2</t>
        </is>
      </c>
      <c r="H70" s="13" t="n">
        <v>6.414615384615384</v>
      </c>
      <c r="I70" t="n">
        <v>2024</v>
      </c>
    </row>
    <row r="71">
      <c r="A71" t="inlineStr">
        <is>
          <t>17020</t>
        </is>
      </c>
      <c r="B71" t="inlineStr">
        <is>
          <t>Chico, CA</t>
        </is>
      </c>
      <c r="C71" s="12" t="n">
        <v>85034</v>
      </c>
      <c r="D71" s="4" t="n">
        <v>433385.9140003356</v>
      </c>
      <c r="E71" s="4" t="n">
        <v>65221</v>
      </c>
      <c r="F71" s="4" t="n">
        <v>1446</v>
      </c>
      <c r="G71" t="inlineStr">
        <is>
          <t>2026Q2</t>
        </is>
      </c>
      <c r="H71" s="13" t="n">
        <v>6.414615384615384</v>
      </c>
      <c r="I71" t="n">
        <v>2024</v>
      </c>
    </row>
    <row r="72">
      <c r="A72" t="inlineStr">
        <is>
          <t>17140</t>
        </is>
      </c>
      <c r="B72" t="inlineStr">
        <is>
          <t>Cincinnati, OH-KY-IN</t>
        </is>
      </c>
      <c r="C72" s="12" t="n">
        <v>922646</v>
      </c>
      <c r="D72" s="4" t="n">
        <v>325575.2871352421</v>
      </c>
      <c r="E72" s="4" t="n">
        <v>81489</v>
      </c>
      <c r="F72" s="4" t="n">
        <v>1203</v>
      </c>
      <c r="G72" t="inlineStr">
        <is>
          <t>2026Q2</t>
        </is>
      </c>
      <c r="H72" s="13" t="n">
        <v>6.414615384615384</v>
      </c>
      <c r="I72" t="n">
        <v>2024</v>
      </c>
    </row>
    <row r="73">
      <c r="A73" t="inlineStr">
        <is>
          <t>17300</t>
        </is>
      </c>
      <c r="B73" t="inlineStr">
        <is>
          <t>Clarksville, TN-KY</t>
        </is>
      </c>
      <c r="C73" s="12" t="n">
        <v>133048</v>
      </c>
      <c r="D73" s="4" t="n">
        <v>293671.9616256087</v>
      </c>
      <c r="E73" s="4" t="n">
        <v>72347</v>
      </c>
      <c r="F73" s="4" t="n">
        <v>1260</v>
      </c>
      <c r="G73" t="inlineStr">
        <is>
          <t>2026Q2</t>
        </is>
      </c>
      <c r="H73" s="13" t="n">
        <v>6.414615384615384</v>
      </c>
      <c r="I73" t="n">
        <v>2024</v>
      </c>
    </row>
    <row r="74">
      <c r="A74" t="inlineStr">
        <is>
          <t>17410</t>
        </is>
      </c>
      <c r="B74" t="inlineStr">
        <is>
          <t>Cleveland, OH</t>
        </is>
      </c>
      <c r="C74" s="12" t="n">
        <v>936673</v>
      </c>
      <c r="D74" s="4" t="n">
        <v>279916.4163811597</v>
      </c>
      <c r="E74" s="4" t="n">
        <v>72532</v>
      </c>
      <c r="F74" s="4" t="n">
        <v>1087</v>
      </c>
      <c r="G74" t="inlineStr">
        <is>
          <t>2026Q2</t>
        </is>
      </c>
      <c r="H74" s="13" t="n">
        <v>6.414615384615384</v>
      </c>
      <c r="I74" t="n">
        <v>2024</v>
      </c>
    </row>
    <row r="75">
      <c r="A75" t="inlineStr">
        <is>
          <t>17420</t>
        </is>
      </c>
      <c r="B75" t="inlineStr">
        <is>
          <t>Cleveland, TN</t>
        </is>
      </c>
      <c r="C75" s="12" t="n">
        <v>50023</v>
      </c>
      <c r="D75" s="4" t="n">
        <v>297793.9702582348</v>
      </c>
      <c r="E75" s="4" t="n">
        <v>71568</v>
      </c>
      <c r="F75" s="4" t="n">
        <v>1034</v>
      </c>
      <c r="G75" t="inlineStr">
        <is>
          <t>2026Q2</t>
        </is>
      </c>
      <c r="H75" s="13" t="n">
        <v>6.414615384615384</v>
      </c>
      <c r="I75" t="n">
        <v>2024</v>
      </c>
    </row>
    <row r="76">
      <c r="A76" t="inlineStr">
        <is>
          <t>17660</t>
        </is>
      </c>
      <c r="B76" t="inlineStr">
        <is>
          <t>Coeur d'Alene, ID</t>
        </is>
      </c>
      <c r="C76" s="12" t="n">
        <v>76775</v>
      </c>
      <c r="D76" s="4" t="n">
        <v>580350.3496503497</v>
      </c>
      <c r="E76" s="4" t="n">
        <v>83061</v>
      </c>
      <c r="F76" s="4" t="n">
        <v>1578</v>
      </c>
      <c r="G76" t="inlineStr">
        <is>
          <t>2026Q2</t>
        </is>
      </c>
      <c r="H76" s="13" t="n">
        <v>6.414615384615384</v>
      </c>
      <c r="I76" t="n">
        <v>2024</v>
      </c>
    </row>
    <row r="77">
      <c r="A77" t="inlineStr">
        <is>
          <t>17780</t>
        </is>
      </c>
      <c r="B77" t="inlineStr">
        <is>
          <t>College Station-Bryan, TX</t>
        </is>
      </c>
      <c r="C77" s="12" t="n">
        <v>111990</v>
      </c>
      <c r="D77" s="4" t="n">
        <v>343041.8076375092</v>
      </c>
      <c r="E77" s="4" t="n">
        <v>61983</v>
      </c>
      <c r="F77" s="4" t="n">
        <v>1195</v>
      </c>
      <c r="G77" t="inlineStr">
        <is>
          <t>2026Q2</t>
        </is>
      </c>
      <c r="H77" s="13" t="n">
        <v>6.414615384615384</v>
      </c>
      <c r="I77" t="n">
        <v>2024</v>
      </c>
    </row>
    <row r="78">
      <c r="A78" t="inlineStr">
        <is>
          <t>17820</t>
        </is>
      </c>
      <c r="B78" t="inlineStr">
        <is>
          <t>Colorado Springs, CO</t>
        </is>
      </c>
      <c r="C78" s="12" t="n">
        <v>316919</v>
      </c>
      <c r="D78" s="4" t="n">
        <v>493682.9452426003</v>
      </c>
      <c r="E78" s="4" t="n">
        <v>90760</v>
      </c>
      <c r="F78" s="4" t="n">
        <v>1761</v>
      </c>
      <c r="G78" t="inlineStr">
        <is>
          <t>2026Q2</t>
        </is>
      </c>
      <c r="H78" s="13" t="n">
        <v>6.414615384615384</v>
      </c>
      <c r="I78" t="n">
        <v>2024</v>
      </c>
    </row>
    <row r="79">
      <c r="A79" t="inlineStr">
        <is>
          <t>17860</t>
        </is>
      </c>
      <c r="B79" t="inlineStr">
        <is>
          <t>Columbia, MO</t>
        </is>
      </c>
      <c r="C79" s="12" t="n">
        <v>88462</v>
      </c>
      <c r="D79" s="4" t="n">
        <v>329335.4535522003</v>
      </c>
      <c r="E79" s="4" t="n">
        <v>80142</v>
      </c>
      <c r="F79" s="4" t="n">
        <v>1115</v>
      </c>
      <c r="G79" t="inlineStr">
        <is>
          <t>2026Q2</t>
        </is>
      </c>
      <c r="H79" s="13" t="n">
        <v>6.414615384615384</v>
      </c>
      <c r="I79" t="n">
        <v>2024</v>
      </c>
    </row>
    <row r="80">
      <c r="A80" t="inlineStr">
        <is>
          <t>17900</t>
        </is>
      </c>
      <c r="B80" t="inlineStr">
        <is>
          <t>Columbia, SC</t>
        </is>
      </c>
      <c r="C80" s="12" t="n">
        <v>351807</v>
      </c>
      <c r="D80" s="4" t="n">
        <v>289039.0455129308</v>
      </c>
      <c r="E80" s="4" t="n">
        <v>70788</v>
      </c>
      <c r="F80" s="4" t="n">
        <v>1257</v>
      </c>
      <c r="G80" t="inlineStr">
        <is>
          <t>2026Q2</t>
        </is>
      </c>
      <c r="H80" s="13" t="n">
        <v>6.414615384615384</v>
      </c>
      <c r="I80" t="n">
        <v>2024</v>
      </c>
    </row>
    <row r="81">
      <c r="A81" t="inlineStr">
        <is>
          <t>17980</t>
        </is>
      </c>
      <c r="B81" t="inlineStr">
        <is>
          <t>Columbus, GA-AL</t>
        </is>
      </c>
      <c r="C81" s="12" t="n">
        <v>128387</v>
      </c>
      <c r="D81" s="4" t="n">
        <v>238509.789870927</v>
      </c>
      <c r="E81" s="4" t="n">
        <v>60100</v>
      </c>
      <c r="F81" s="4" t="n">
        <v>1143</v>
      </c>
      <c r="G81" t="inlineStr">
        <is>
          <t>2026Q2</t>
        </is>
      </c>
      <c r="H81" s="13" t="n">
        <v>6.414615384615384</v>
      </c>
      <c r="I81" t="n">
        <v>2024</v>
      </c>
    </row>
    <row r="82">
      <c r="A82" t="inlineStr">
        <is>
          <t>18020</t>
        </is>
      </c>
      <c r="B82" t="inlineStr">
        <is>
          <t>Columbus, IN</t>
        </is>
      </c>
      <c r="C82" s="12" t="n">
        <v>33605</v>
      </c>
      <c r="D82" s="4" t="n">
        <v>291803.2528116808</v>
      </c>
      <c r="E82" s="4" t="n">
        <v>80438</v>
      </c>
      <c r="F82" s="4" t="n">
        <v>1090</v>
      </c>
      <c r="G82" t="inlineStr">
        <is>
          <t>2026Q2</t>
        </is>
      </c>
      <c r="H82" s="13" t="n">
        <v>6.414615384615384</v>
      </c>
      <c r="I82" t="n">
        <v>2024</v>
      </c>
    </row>
    <row r="83">
      <c r="A83" t="inlineStr">
        <is>
          <t>18140</t>
        </is>
      </c>
      <c r="B83" t="inlineStr">
        <is>
          <t>Columbus, OH</t>
        </is>
      </c>
      <c r="C83" s="12" t="n">
        <v>880121</v>
      </c>
      <c r="D83" s="4" t="n">
        <v>368753.8047370891</v>
      </c>
      <c r="E83" s="4" t="n">
        <v>82938</v>
      </c>
      <c r="F83" s="4" t="n">
        <v>1359</v>
      </c>
      <c r="G83" t="inlineStr">
        <is>
          <t>2026Q2</t>
        </is>
      </c>
      <c r="H83" s="13" t="n">
        <v>6.414615384615384</v>
      </c>
      <c r="I83" t="n">
        <v>2024</v>
      </c>
    </row>
    <row r="84">
      <c r="A84" t="inlineStr">
        <is>
          <t>18580</t>
        </is>
      </c>
      <c r="B84" t="inlineStr">
        <is>
          <t>Corpus Christi, TX</t>
        </is>
      </c>
      <c r="C84" s="12" t="n">
        <v>173169</v>
      </c>
      <c r="D84" s="4" t="n">
        <v>223122.1204905479</v>
      </c>
      <c r="E84" s="4" t="n">
        <v>68650</v>
      </c>
      <c r="F84" s="4" t="n">
        <v>1293</v>
      </c>
      <c r="G84" t="inlineStr">
        <is>
          <t>2026Q2</t>
        </is>
      </c>
      <c r="H84" s="13" t="n">
        <v>6.414615384615384</v>
      </c>
      <c r="I84" t="n">
        <v>2024</v>
      </c>
    </row>
    <row r="85">
      <c r="A85" t="inlineStr">
        <is>
          <t>18700</t>
        </is>
      </c>
      <c r="B85" t="inlineStr">
        <is>
          <t>Corvallis, OR</t>
        </is>
      </c>
      <c r="C85" s="12" t="n">
        <v>39411</v>
      </c>
      <c r="D85" s="4" t="n">
        <v>618424.090878012</v>
      </c>
      <c r="E85" s="4" t="n">
        <v>79179</v>
      </c>
      <c r="F85" s="4" t="n">
        <v>1490</v>
      </c>
      <c r="G85" t="inlineStr">
        <is>
          <t>2026Q2</t>
        </is>
      </c>
      <c r="H85" s="13" t="n">
        <v>6.414615384615384</v>
      </c>
      <c r="I85" t="n">
        <v>2024</v>
      </c>
    </row>
    <row r="86">
      <c r="A86" t="inlineStr">
        <is>
          <t>18880</t>
        </is>
      </c>
      <c r="B86" t="inlineStr">
        <is>
          <t>Crestview-Fort Walton Beach-Destin, FL</t>
        </is>
      </c>
      <c r="C86" s="12" t="n">
        <v>124494</v>
      </c>
      <c r="D86" s="4" t="n">
        <v>420938.5685230024</v>
      </c>
      <c r="E86" s="4" t="n">
        <v>81933</v>
      </c>
      <c r="F86" s="4" t="n">
        <v>1784</v>
      </c>
      <c r="G86" t="inlineStr">
        <is>
          <t>2026Q2</t>
        </is>
      </c>
      <c r="H86" s="13" t="n">
        <v>6.414615384615384</v>
      </c>
      <c r="I86" t="n">
        <v>2024</v>
      </c>
    </row>
    <row r="87">
      <c r="A87" t="inlineStr">
        <is>
          <t>19100</t>
        </is>
      </c>
      <c r="B87" t="inlineStr">
        <is>
          <t>Dallas-Fort Worth-Arlington, TX</t>
        </is>
      </c>
      <c r="C87" s="12" t="n">
        <v>3012855</v>
      </c>
      <c r="D87" s="4" t="n">
        <v>398532.3115746035</v>
      </c>
      <c r="E87" s="4" t="n">
        <v>92733</v>
      </c>
      <c r="F87" s="4" t="n">
        <v>1718</v>
      </c>
      <c r="G87" t="inlineStr">
        <is>
          <t>2026Q2</t>
        </is>
      </c>
      <c r="H87" s="13" t="n">
        <v>6.414615384615384</v>
      </c>
      <c r="I87" t="n">
        <v>2024</v>
      </c>
    </row>
    <row r="88">
      <c r="A88" t="inlineStr">
        <is>
          <t>19140</t>
        </is>
      </c>
      <c r="B88" t="inlineStr">
        <is>
          <t>Dalton, GA</t>
        </is>
      </c>
      <c r="C88" s="12" t="n">
        <v>52459</v>
      </c>
      <c r="D88" s="4" t="n">
        <v>251820.1106070313</v>
      </c>
      <c r="E88" s="4" t="n">
        <v>66660</v>
      </c>
      <c r="F88" s="4" t="n">
        <v>973</v>
      </c>
      <c r="G88" t="inlineStr">
        <is>
          <t>2026Q2</t>
        </is>
      </c>
      <c r="H88" s="13" t="n">
        <v>6.414615384615384</v>
      </c>
      <c r="I88" t="n">
        <v>2024</v>
      </c>
    </row>
    <row r="89">
      <c r="A89" t="inlineStr">
        <is>
          <t>19300</t>
        </is>
      </c>
      <c r="B89" t="inlineStr">
        <is>
          <t>Daphne-Fairhope-Foley, AL</t>
        </is>
      </c>
      <c r="C89" s="12" t="n">
        <v>105959</v>
      </c>
      <c r="D89" s="4" t="n">
        <v>405340.869584183</v>
      </c>
      <c r="E89" s="4" t="n">
        <v>82501</v>
      </c>
      <c r="F89" s="4" t="n">
        <v>1440</v>
      </c>
      <c r="G89" t="inlineStr">
        <is>
          <t>2026Q2</t>
        </is>
      </c>
      <c r="H89" s="13" t="n">
        <v>6.414615384615384</v>
      </c>
      <c r="I89" t="n">
        <v>2024</v>
      </c>
    </row>
    <row r="90">
      <c r="A90" t="inlineStr">
        <is>
          <t>19340</t>
        </is>
      </c>
      <c r="B90" t="inlineStr">
        <is>
          <t>Davenport-Moline-Rock Island, IA-IL</t>
        </is>
      </c>
      <c r="C90" s="12" t="n">
        <v>164167</v>
      </c>
      <c r="D90" s="4" t="n">
        <v>212761.5541090317</v>
      </c>
      <c r="E90" s="4" t="n">
        <v>71446</v>
      </c>
      <c r="F90" s="4" t="n">
        <v>971</v>
      </c>
      <c r="G90" t="inlineStr">
        <is>
          <t>2026Q2</t>
        </is>
      </c>
      <c r="H90" s="13" t="n">
        <v>6.414615384615384</v>
      </c>
      <c r="I90" t="n">
        <v>2024</v>
      </c>
    </row>
    <row r="91">
      <c r="A91" t="inlineStr">
        <is>
          <t>19430</t>
        </is>
      </c>
      <c r="B91" t="inlineStr">
        <is>
          <t>Dayton-Kettering-Beavercreek, OH</t>
        </is>
      </c>
      <c r="C91" s="12" t="n">
        <v>347200</v>
      </c>
      <c r="D91" s="4" t="n">
        <v>250676.1018609207</v>
      </c>
      <c r="E91" s="4" t="n">
        <v>72711</v>
      </c>
      <c r="F91" s="4" t="n">
        <v>1119</v>
      </c>
      <c r="G91" t="inlineStr">
        <is>
          <t>2026Q2</t>
        </is>
      </c>
      <c r="H91" s="13" t="n">
        <v>6.414615384615384</v>
      </c>
      <c r="I91" t="n">
        <v>2024</v>
      </c>
    </row>
    <row r="92">
      <c r="A92" t="inlineStr">
        <is>
          <t>19460</t>
        </is>
      </c>
      <c r="B92" t="inlineStr">
        <is>
          <t>Decatur, AL</t>
        </is>
      </c>
      <c r="C92" s="12" t="n">
        <v>62896</v>
      </c>
      <c r="D92" s="4" t="n">
        <v>254558.4787908337</v>
      </c>
      <c r="E92" s="4" t="n">
        <v>69526</v>
      </c>
      <c r="F92" s="4" t="n">
        <v>899</v>
      </c>
      <c r="G92" t="inlineStr">
        <is>
          <t>2026Q2</t>
        </is>
      </c>
      <c r="H92" s="13" t="n">
        <v>6.414615384615384</v>
      </c>
      <c r="I92" t="n">
        <v>2024</v>
      </c>
    </row>
    <row r="93">
      <c r="A93" t="inlineStr">
        <is>
          <t>19500</t>
        </is>
      </c>
      <c r="B93" t="inlineStr">
        <is>
          <t>Decatur, IL</t>
        </is>
      </c>
      <c r="C93" s="12" t="n">
        <v>44279</v>
      </c>
      <c r="D93" s="4" t="n">
        <v>166977.7712302757</v>
      </c>
      <c r="E93" s="4" t="n">
        <v>61411</v>
      </c>
      <c r="F93" s="4" t="n">
        <v>896</v>
      </c>
      <c r="G93" t="inlineStr">
        <is>
          <t>2026Q2</t>
        </is>
      </c>
      <c r="H93" s="13" t="n">
        <v>6.414615384615384</v>
      </c>
      <c r="I93" t="n">
        <v>2024</v>
      </c>
    </row>
    <row r="94">
      <c r="A94" t="inlineStr">
        <is>
          <t>19660</t>
        </is>
      </c>
      <c r="B94" t="inlineStr">
        <is>
          <t>Deltona-Daytona Beach-Ormond Beach, FL</t>
        </is>
      </c>
      <c r="C94" s="12" t="n">
        <v>307872</v>
      </c>
      <c r="D94" s="4" t="n">
        <v>366704.3633715156</v>
      </c>
      <c r="E94" s="4" t="n">
        <v>73701</v>
      </c>
      <c r="F94" s="4" t="n">
        <v>1614</v>
      </c>
      <c r="G94" t="inlineStr">
        <is>
          <t>2026Q2</t>
        </is>
      </c>
      <c r="H94" s="13" t="n">
        <v>6.414615384615384</v>
      </c>
      <c r="I94" t="n">
        <v>2024</v>
      </c>
    </row>
    <row r="95">
      <c r="A95" t="inlineStr">
        <is>
          <t>19740</t>
        </is>
      </c>
      <c r="B95" t="inlineStr">
        <is>
          <t>Denver-Aurora-Centennial, CO</t>
        </is>
      </c>
      <c r="C95" s="12" t="n">
        <v>1265606</v>
      </c>
      <c r="D95" s="4" t="n">
        <v>627686.2391196762</v>
      </c>
      <c r="E95" s="4" t="n">
        <v>108046</v>
      </c>
      <c r="F95" s="4" t="n">
        <v>1943</v>
      </c>
      <c r="G95" t="inlineStr">
        <is>
          <t>2026Q2</t>
        </is>
      </c>
      <c r="H95" s="13" t="n">
        <v>6.414615384615384</v>
      </c>
      <c r="I95" t="n">
        <v>2024</v>
      </c>
    </row>
    <row r="96">
      <c r="A96" t="inlineStr">
        <is>
          <t>19780</t>
        </is>
      </c>
      <c r="B96" t="inlineStr">
        <is>
          <t>Des Moines-West Des Moines, IA</t>
        </is>
      </c>
      <c r="C96" s="12" t="n">
        <v>307502</v>
      </c>
      <c r="D96" s="4" t="n">
        <v>302122.9570058769</v>
      </c>
      <c r="E96" s="4" t="n">
        <v>85446</v>
      </c>
      <c r="F96" s="4" t="n">
        <v>1178</v>
      </c>
      <c r="G96" t="inlineStr">
        <is>
          <t>2026Q2</t>
        </is>
      </c>
      <c r="H96" s="13" t="n">
        <v>6.414615384615384</v>
      </c>
      <c r="I96" t="n">
        <v>2024</v>
      </c>
    </row>
    <row r="97">
      <c r="A97" t="inlineStr">
        <is>
          <t>19820</t>
        </is>
      </c>
      <c r="B97" t="inlineStr">
        <is>
          <t>Detroit-Warren-Dearborn, MI</t>
        </is>
      </c>
      <c r="C97" s="12" t="n">
        <v>1777768</v>
      </c>
      <c r="D97" s="4" t="n">
        <v>314154.0408821493</v>
      </c>
      <c r="E97" s="4" t="n">
        <v>76403</v>
      </c>
      <c r="F97" s="4" t="n">
        <v>1248</v>
      </c>
      <c r="G97" t="inlineStr">
        <is>
          <t>2026Q2</t>
        </is>
      </c>
      <c r="H97" s="13" t="n">
        <v>6.414615384615384</v>
      </c>
      <c r="I97" t="n">
        <v>2024</v>
      </c>
    </row>
    <row r="98">
      <c r="A98" t="inlineStr">
        <is>
          <t>20020</t>
        </is>
      </c>
      <c r="B98" t="inlineStr">
        <is>
          <t>Dothan, AL</t>
        </is>
      </c>
      <c r="C98" s="12" t="n">
        <v>64410</v>
      </c>
      <c r="D98" s="4" t="n">
        <v>224540.016562786</v>
      </c>
      <c r="E98" s="4" t="n">
        <v>60024</v>
      </c>
      <c r="F98" s="4" t="n">
        <v>897</v>
      </c>
      <c r="G98" t="inlineStr">
        <is>
          <t>2026Q2</t>
        </is>
      </c>
      <c r="H98" s="13" t="n">
        <v>6.414615384615384</v>
      </c>
      <c r="I98" t="n">
        <v>2024</v>
      </c>
    </row>
    <row r="99">
      <c r="A99" t="inlineStr">
        <is>
          <t>20100</t>
        </is>
      </c>
      <c r="B99" t="inlineStr">
        <is>
          <t>Dover, DE</t>
        </is>
      </c>
      <c r="C99" s="12" t="n">
        <v>73100</v>
      </c>
      <c r="D99" s="4" t="n">
        <v>368383.8689612274</v>
      </c>
      <c r="E99" s="4" t="n">
        <v>81117</v>
      </c>
      <c r="F99" s="4" t="n">
        <v>1540</v>
      </c>
      <c r="G99" t="inlineStr">
        <is>
          <t>2026Q2</t>
        </is>
      </c>
      <c r="H99" s="13" t="n">
        <v>6.414615384615384</v>
      </c>
      <c r="I99" t="n">
        <v>2024</v>
      </c>
    </row>
    <row r="100">
      <c r="A100" t="inlineStr">
        <is>
          <t>20220</t>
        </is>
      </c>
      <c r="B100" t="inlineStr">
        <is>
          <t>Dubuque, IA</t>
        </is>
      </c>
      <c r="C100" s="12" t="n">
        <v>41276</v>
      </c>
      <c r="D100" s="4" t="n">
        <v>265769.1612454685</v>
      </c>
      <c r="E100" s="4" t="n">
        <v>80512</v>
      </c>
      <c r="F100" s="4" t="n">
        <v>1047</v>
      </c>
      <c r="G100" t="inlineStr">
        <is>
          <t>2026Q2</t>
        </is>
      </c>
      <c r="H100" s="13" t="n">
        <v>6.414615384615384</v>
      </c>
      <c r="I100" t="n">
        <v>2024</v>
      </c>
    </row>
    <row r="101">
      <c r="A101" t="inlineStr">
        <is>
          <t>20260</t>
        </is>
      </c>
      <c r="B101" t="inlineStr">
        <is>
          <t>Duluth, MN-WI</t>
        </is>
      </c>
      <c r="C101" s="12" t="n">
        <v>124663</v>
      </c>
      <c r="D101" s="4" t="n">
        <v>288753.2227483636</v>
      </c>
      <c r="E101" s="4" t="n">
        <v>69309</v>
      </c>
      <c r="F101" s="4" t="n">
        <v>993</v>
      </c>
      <c r="G101" t="inlineStr">
        <is>
          <t>2026Q2</t>
        </is>
      </c>
      <c r="H101" s="13" t="n">
        <v>6.414615384615384</v>
      </c>
      <c r="I101" t="n">
        <v>2024</v>
      </c>
    </row>
    <row r="102">
      <c r="A102" t="inlineStr">
        <is>
          <t>20500</t>
        </is>
      </c>
      <c r="B102" t="inlineStr">
        <is>
          <t>Durham-Chapel Hill, NC</t>
        </is>
      </c>
      <c r="C102" s="12" t="n">
        <v>257745</v>
      </c>
      <c r="D102" s="4" t="n">
        <v>433048.2023163189</v>
      </c>
      <c r="E102" s="4" t="n">
        <v>83542</v>
      </c>
      <c r="F102" s="4" t="n">
        <v>1598</v>
      </c>
      <c r="G102" t="inlineStr">
        <is>
          <t>2026Q2</t>
        </is>
      </c>
      <c r="H102" s="13" t="n">
        <v>6.414615384615384</v>
      </c>
      <c r="I102" t="n">
        <v>2024</v>
      </c>
    </row>
    <row r="103">
      <c r="A103" t="inlineStr">
        <is>
          <t>20740</t>
        </is>
      </c>
      <c r="B103" t="inlineStr">
        <is>
          <t>Eau Claire, WI</t>
        </is>
      </c>
      <c r="C103" s="12" t="n">
        <v>76134</v>
      </c>
      <c r="D103" s="4" t="n">
        <v>324105.4894433782</v>
      </c>
      <c r="E103" s="4" t="n">
        <v>74869</v>
      </c>
      <c r="F103" s="4" t="n">
        <v>1135</v>
      </c>
      <c r="G103" t="inlineStr">
        <is>
          <t>2026Q2</t>
        </is>
      </c>
      <c r="H103" s="13" t="n">
        <v>6.414615384615384</v>
      </c>
      <c r="I103" t="n">
        <v>2024</v>
      </c>
    </row>
    <row r="104">
      <c r="A104" t="inlineStr">
        <is>
          <t>20940</t>
        </is>
      </c>
      <c r="B104" t="inlineStr">
        <is>
          <t>El Centro, CA</t>
        </is>
      </c>
      <c r="C104" s="12" t="n">
        <v>51165</v>
      </c>
      <c r="D104" s="4" t="n">
        <v>397665.5454175627</v>
      </c>
      <c r="E104" s="4" t="n">
        <v>60749</v>
      </c>
      <c r="F104" s="4" t="n">
        <v>1062</v>
      </c>
      <c r="G104" t="inlineStr">
        <is>
          <t>2026Q2</t>
        </is>
      </c>
      <c r="H104" s="13" t="n">
        <v>6.414615384615384</v>
      </c>
      <c r="I104" t="n">
        <v>2024</v>
      </c>
    </row>
    <row r="105">
      <c r="A105" t="inlineStr">
        <is>
          <t>21340</t>
        </is>
      </c>
      <c r="B105" t="inlineStr">
        <is>
          <t>El Paso, TX</t>
        </is>
      </c>
      <c r="C105" s="12" t="n">
        <v>302873</v>
      </c>
      <c r="D105" s="4" t="n">
        <v>213813.0656844354</v>
      </c>
      <c r="E105" s="4" t="n">
        <v>59834</v>
      </c>
      <c r="F105" s="4" t="n">
        <v>1081</v>
      </c>
      <c r="G105" t="inlineStr">
        <is>
          <t>2026Q2</t>
        </is>
      </c>
      <c r="H105" s="13" t="n">
        <v>6.414615384615384</v>
      </c>
      <c r="I105" t="n">
        <v>2024</v>
      </c>
    </row>
    <row r="106">
      <c r="A106" t="inlineStr">
        <is>
          <t>21060</t>
        </is>
      </c>
      <c r="B106" t="inlineStr">
        <is>
          <t>Elizabethtown, KY</t>
        </is>
      </c>
      <c r="C106" s="12" t="n">
        <v>53922</v>
      </c>
      <c r="D106" s="4" t="n">
        <v>266243.762993763</v>
      </c>
      <c r="E106" s="4" t="n">
        <v>69080</v>
      </c>
      <c r="F106" s="4" t="n">
        <v>1051</v>
      </c>
      <c r="G106" t="inlineStr">
        <is>
          <t>2026Q2</t>
        </is>
      </c>
      <c r="H106" s="13" t="n">
        <v>6.414615384615384</v>
      </c>
      <c r="I106" t="n">
        <v>2024</v>
      </c>
    </row>
    <row r="107">
      <c r="A107" t="inlineStr">
        <is>
          <t>21140</t>
        </is>
      </c>
      <c r="B107" t="inlineStr">
        <is>
          <t>Elkhart-Goshen, IN</t>
        </is>
      </c>
      <c r="C107" s="12" t="n">
        <v>72379</v>
      </c>
      <c r="D107" s="4" t="n">
        <v>276373.7498829791</v>
      </c>
      <c r="E107" s="4" t="n">
        <v>69872</v>
      </c>
      <c r="F107" s="4" t="n">
        <v>1047</v>
      </c>
      <c r="G107" t="inlineStr">
        <is>
          <t>2026Q2</t>
        </is>
      </c>
      <c r="H107" s="13" t="n">
        <v>6.414615384615384</v>
      </c>
      <c r="I107" t="n">
        <v>2024</v>
      </c>
    </row>
    <row r="108">
      <c r="A108" t="inlineStr">
        <is>
          <t>21300</t>
        </is>
      </c>
      <c r="B108" t="inlineStr">
        <is>
          <t>Elmira, NY</t>
        </is>
      </c>
      <c r="C108" s="12" t="n">
        <v>36029</v>
      </c>
      <c r="D108" s="4" t="n">
        <v>169428.9016361016</v>
      </c>
      <c r="E108" s="4" t="n">
        <v>66527</v>
      </c>
      <c r="F108" s="4" t="n">
        <v>1029</v>
      </c>
      <c r="G108" t="inlineStr">
        <is>
          <t>2026Q2</t>
        </is>
      </c>
      <c r="H108" s="13" t="n">
        <v>6.414615384615384</v>
      </c>
      <c r="I108" t="n">
        <v>2024</v>
      </c>
    </row>
    <row r="109">
      <c r="A109" t="inlineStr">
        <is>
          <t>21420</t>
        </is>
      </c>
      <c r="B109" t="inlineStr">
        <is>
          <t>Enid, OK</t>
        </is>
      </c>
      <c r="C109" s="12" t="n">
        <v>23633</v>
      </c>
      <c r="D109" s="4" t="n">
        <v>169943.2402773591</v>
      </c>
      <c r="E109" s="4" t="n">
        <v>67004</v>
      </c>
      <c r="F109" s="4" t="n">
        <v>940</v>
      </c>
      <c r="G109" t="inlineStr">
        <is>
          <t>2026Q2</t>
        </is>
      </c>
      <c r="H109" s="13" t="n">
        <v>6.414615384615384</v>
      </c>
      <c r="I109" t="n">
        <v>2024</v>
      </c>
    </row>
    <row r="110">
      <c r="A110" t="inlineStr">
        <is>
          <t>21500</t>
        </is>
      </c>
      <c r="B110" t="inlineStr">
        <is>
          <t>Erie, PA</t>
        </is>
      </c>
      <c r="C110" s="12" t="n">
        <v>111874</v>
      </c>
      <c r="D110" s="4" t="n">
        <v>263203.8740048875</v>
      </c>
      <c r="E110" s="4" t="n">
        <v>63322</v>
      </c>
      <c r="F110" s="4" t="n">
        <v>888</v>
      </c>
      <c r="G110" t="inlineStr">
        <is>
          <t>2026Q2</t>
        </is>
      </c>
      <c r="H110" s="13" t="n">
        <v>6.414615384615384</v>
      </c>
      <c r="I110" t="n">
        <v>2024</v>
      </c>
    </row>
    <row r="111">
      <c r="A111" t="inlineStr">
        <is>
          <t>21660</t>
        </is>
      </c>
      <c r="B111" t="inlineStr">
        <is>
          <t>Eugene-Springfield, OR</t>
        </is>
      </c>
      <c r="C111" s="12" t="n">
        <v>162496</v>
      </c>
      <c r="D111" s="4" t="n">
        <v>465484.5024777193</v>
      </c>
      <c r="E111" s="4" t="n">
        <v>73476</v>
      </c>
      <c r="F111" s="4" t="n">
        <v>1470</v>
      </c>
      <c r="G111" t="inlineStr">
        <is>
          <t>2026Q2</t>
        </is>
      </c>
      <c r="H111" s="13" t="n">
        <v>6.414615384615384</v>
      </c>
      <c r="I111" t="n">
        <v>2024</v>
      </c>
    </row>
    <row r="112">
      <c r="A112" t="inlineStr">
        <is>
          <t>21780</t>
        </is>
      </c>
      <c r="B112" t="inlineStr">
        <is>
          <t>Evansville, IN</t>
        </is>
      </c>
      <c r="C112" s="12" t="n">
        <v>117981</v>
      </c>
      <c r="D112" s="4" t="n">
        <v>237138.0808186279</v>
      </c>
      <c r="E112" s="4" t="n">
        <v>67459</v>
      </c>
      <c r="F112" s="4" t="n">
        <v>1007</v>
      </c>
      <c r="G112" t="inlineStr">
        <is>
          <t>2026Q2</t>
        </is>
      </c>
      <c r="H112" s="13" t="n">
        <v>6.414615384615384</v>
      </c>
      <c r="I112" t="n">
        <v>2024</v>
      </c>
    </row>
    <row r="113">
      <c r="A113" t="inlineStr">
        <is>
          <t>21820</t>
        </is>
      </c>
      <c r="B113" t="inlineStr">
        <is>
          <t>Fairbanks-College, AK</t>
        </is>
      </c>
      <c r="C113" s="12" t="n">
        <v>36358</v>
      </c>
      <c r="D113" s="4" t="n">
        <v>384483.0475999649</v>
      </c>
      <c r="E113" s="4" t="n">
        <v>92121</v>
      </c>
      <c r="F113" s="4" t="n">
        <v>1499</v>
      </c>
      <c r="G113" t="inlineStr">
        <is>
          <t>2026Q2</t>
        </is>
      </c>
      <c r="H113" s="13" t="n">
        <v>6.414615384615384</v>
      </c>
      <c r="I113" t="n">
        <v>2024</v>
      </c>
    </row>
    <row r="114">
      <c r="A114" t="inlineStr">
        <is>
          <t>22020</t>
        </is>
      </c>
      <c r="B114" t="inlineStr">
        <is>
          <t>Fargo, ND-MN</t>
        </is>
      </c>
      <c r="C114" s="12" t="n">
        <v>117879</v>
      </c>
      <c r="D114" s="4" t="n">
        <v>347205.7426280471</v>
      </c>
      <c r="E114" s="4" t="n">
        <v>76945</v>
      </c>
      <c r="F114" s="4" t="n">
        <v>997</v>
      </c>
      <c r="G114" t="inlineStr">
        <is>
          <t>2026Q2</t>
        </is>
      </c>
      <c r="H114" s="13" t="n">
        <v>6.414615384615384</v>
      </c>
      <c r="I114" t="n">
        <v>2024</v>
      </c>
    </row>
    <row r="115">
      <c r="A115" t="inlineStr">
        <is>
          <t>22140</t>
        </is>
      </c>
      <c r="B115" t="inlineStr">
        <is>
          <t>Farmington, NM</t>
        </is>
      </c>
      <c r="C115" s="12" t="n">
        <v>42997</v>
      </c>
      <c r="D115" s="4" t="n">
        <v>260620.2569316998</v>
      </c>
      <c r="E115" s="4" t="n">
        <v>66426</v>
      </c>
      <c r="F115" s="4" t="n">
        <v>946</v>
      </c>
      <c r="G115" t="inlineStr">
        <is>
          <t>2026Q2</t>
        </is>
      </c>
      <c r="H115" s="13" t="n">
        <v>6.414615384615384</v>
      </c>
      <c r="I115" t="n">
        <v>2024</v>
      </c>
    </row>
    <row r="116">
      <c r="A116" t="inlineStr">
        <is>
          <t>22180</t>
        </is>
      </c>
      <c r="B116" t="inlineStr">
        <is>
          <t>Fayetteville, NC</t>
        </is>
      </c>
      <c r="C116" s="12" t="n">
        <v>151815</v>
      </c>
      <c r="D116" s="4" t="n">
        <v>267588.1964654429</v>
      </c>
      <c r="E116" s="4" t="n">
        <v>61379</v>
      </c>
      <c r="F116" s="4" t="n">
        <v>1334</v>
      </c>
      <c r="G116" t="inlineStr">
        <is>
          <t>2026Q2</t>
        </is>
      </c>
      <c r="H116" s="13" t="n">
        <v>6.414615384615384</v>
      </c>
      <c r="I116" t="n">
        <v>2024</v>
      </c>
    </row>
    <row r="117">
      <c r="A117" t="inlineStr">
        <is>
          <t>22220</t>
        </is>
      </c>
      <c r="B117" t="inlineStr">
        <is>
          <t>Fayetteville-Springdale-Rogers, AR</t>
        </is>
      </c>
      <c r="C117" s="12" t="n">
        <v>229631</v>
      </c>
      <c r="D117" s="4" t="n">
        <v>370934.3275734328</v>
      </c>
      <c r="E117" s="4" t="n">
        <v>81208</v>
      </c>
      <c r="F117" s="4" t="n">
        <v>1222</v>
      </c>
      <c r="G117" t="inlineStr">
        <is>
          <t>2026Q2</t>
        </is>
      </c>
      <c r="H117" s="13" t="n">
        <v>6.414615384615384</v>
      </c>
      <c r="I117" t="n">
        <v>2024</v>
      </c>
    </row>
    <row r="118">
      <c r="A118" t="inlineStr">
        <is>
          <t>22380</t>
        </is>
      </c>
      <c r="B118" t="inlineStr">
        <is>
          <t>Flagstaff, AZ</t>
        </is>
      </c>
      <c r="C118" s="12" t="n">
        <v>59124</v>
      </c>
      <c r="D118" s="4" t="n">
        <v>576102.6844529257</v>
      </c>
      <c r="E118" s="4" t="n">
        <v>75164</v>
      </c>
      <c r="F118" s="4" t="n">
        <v>1637</v>
      </c>
      <c r="G118" t="inlineStr">
        <is>
          <t>2026Q2</t>
        </is>
      </c>
      <c r="H118" s="13" t="n">
        <v>6.414615384615384</v>
      </c>
      <c r="I118" t="n">
        <v>2024</v>
      </c>
    </row>
    <row r="119">
      <c r="A119" t="inlineStr">
        <is>
          <t>22420</t>
        </is>
      </c>
      <c r="B119" t="inlineStr">
        <is>
          <t>Flint, MI</t>
        </is>
      </c>
      <c r="C119" s="12" t="n">
        <v>166807</v>
      </c>
      <c r="D119" s="4" t="n">
        <v>214808.9750857825</v>
      </c>
      <c r="E119" s="4" t="n">
        <v>63594</v>
      </c>
      <c r="F119" s="4" t="n">
        <v>1058</v>
      </c>
      <c r="G119" t="inlineStr">
        <is>
          <t>2026Q2</t>
        </is>
      </c>
      <c r="H119" s="13" t="n">
        <v>6.414615384615384</v>
      </c>
      <c r="I119" t="n">
        <v>2024</v>
      </c>
    </row>
    <row r="120">
      <c r="A120" t="inlineStr">
        <is>
          <t>22500</t>
        </is>
      </c>
      <c r="B120" t="inlineStr">
        <is>
          <t>Florence, SC</t>
        </is>
      </c>
      <c r="C120" s="12" t="n">
        <v>79467</v>
      </c>
      <c r="D120" s="4" t="n">
        <v>209323.9977090493</v>
      </c>
      <c r="E120" s="4" t="n">
        <v>56475</v>
      </c>
      <c r="F120" s="4" t="n">
        <v>1023</v>
      </c>
      <c r="G120" t="inlineStr">
        <is>
          <t>2026Q2</t>
        </is>
      </c>
      <c r="H120" s="13" t="n">
        <v>6.414615384615384</v>
      </c>
      <c r="I120" t="n">
        <v>2024</v>
      </c>
    </row>
    <row r="121">
      <c r="A121" t="inlineStr">
        <is>
          <t>22520</t>
        </is>
      </c>
      <c r="B121" t="inlineStr">
        <is>
          <t>Florence-Muscle Shoals, AL</t>
        </is>
      </c>
      <c r="C121" s="12" t="n">
        <v>65277</v>
      </c>
      <c r="D121" s="4" t="n">
        <v>260893.4489592264</v>
      </c>
      <c r="E121" s="4" t="n">
        <v>66882</v>
      </c>
      <c r="F121" s="4" t="n">
        <v>877</v>
      </c>
      <c r="G121" t="inlineStr">
        <is>
          <t>2026Q2</t>
        </is>
      </c>
      <c r="H121" s="13" t="n">
        <v>6.414615384615384</v>
      </c>
      <c r="I121" t="n">
        <v>2024</v>
      </c>
    </row>
    <row r="122">
      <c r="A122" t="inlineStr">
        <is>
          <t>22540</t>
        </is>
      </c>
      <c r="B122" t="inlineStr">
        <is>
          <t>Fond du Lac, WI</t>
        </is>
      </c>
      <c r="C122" s="12" t="n">
        <v>43663</v>
      </c>
      <c r="D122" s="4" t="n">
        <v>320980.6604423146</v>
      </c>
      <c r="E122" s="4" t="n">
        <v>74782</v>
      </c>
      <c r="F122" s="4" t="n">
        <v>951</v>
      </c>
      <c r="G122" t="inlineStr">
        <is>
          <t>2026Q2</t>
        </is>
      </c>
      <c r="H122" s="13" t="n">
        <v>6.414615384615384</v>
      </c>
      <c r="I122" t="n">
        <v>2024</v>
      </c>
    </row>
    <row r="123">
      <c r="A123" t="inlineStr">
        <is>
          <t>22660</t>
        </is>
      </c>
      <c r="B123" t="inlineStr">
        <is>
          <t>Fort Collins-Loveland, CO</t>
        </is>
      </c>
      <c r="C123" s="12" t="n">
        <v>161464</v>
      </c>
      <c r="D123" s="4" t="n">
        <v>619474.4008142359</v>
      </c>
      <c r="E123" s="4" t="n">
        <v>93276</v>
      </c>
      <c r="F123" s="4" t="n">
        <v>1751</v>
      </c>
      <c r="G123" t="inlineStr">
        <is>
          <t>2026Q2</t>
        </is>
      </c>
      <c r="H123" s="13" t="n">
        <v>6.414615384615384</v>
      </c>
      <c r="I123" t="n">
        <v>2024</v>
      </c>
    </row>
    <row r="124">
      <c r="A124" t="inlineStr">
        <is>
          <t>22900</t>
        </is>
      </c>
      <c r="B124" t="inlineStr">
        <is>
          <t>Fort Smith, AR-OK</t>
        </is>
      </c>
      <c r="C124" s="12" t="n">
        <v>93826</v>
      </c>
      <c r="D124" s="4" t="n">
        <v>213547.6692218099</v>
      </c>
      <c r="E124" s="4" t="n">
        <v>60327</v>
      </c>
      <c r="F124" s="4" t="n">
        <v>906</v>
      </c>
      <c r="G124" t="inlineStr">
        <is>
          <t>2026Q2</t>
        </is>
      </c>
      <c r="H124" s="13" t="n">
        <v>6.414615384615384</v>
      </c>
      <c r="I124" t="n">
        <v>2024</v>
      </c>
    </row>
    <row r="125">
      <c r="A125" t="inlineStr">
        <is>
          <t>23060</t>
        </is>
      </c>
      <c r="B125" t="inlineStr">
        <is>
          <t>Fort Wayne, IN</t>
        </is>
      </c>
      <c r="C125" s="12" t="n">
        <v>185429</v>
      </c>
      <c r="D125" s="4" t="n">
        <v>266580.4821524462</v>
      </c>
      <c r="E125" s="4" t="n">
        <v>71251</v>
      </c>
      <c r="F125" s="4" t="n">
        <v>1056</v>
      </c>
      <c r="G125" t="inlineStr">
        <is>
          <t>2026Q2</t>
        </is>
      </c>
      <c r="H125" s="13" t="n">
        <v>6.414615384615384</v>
      </c>
      <c r="I125" t="n">
        <v>2024</v>
      </c>
    </row>
    <row r="126">
      <c r="A126" t="inlineStr">
        <is>
          <t>23420</t>
        </is>
      </c>
      <c r="B126" t="inlineStr">
        <is>
          <t>Fresno, CA</t>
        </is>
      </c>
      <c r="C126" s="12" t="n">
        <v>379101</v>
      </c>
      <c r="D126" s="4" t="n">
        <v>463213.1297804478</v>
      </c>
      <c r="E126" s="4" t="n">
        <v>74983</v>
      </c>
      <c r="F126" s="4" t="n">
        <v>1513</v>
      </c>
      <c r="G126" t="inlineStr">
        <is>
          <t>2026Q2</t>
        </is>
      </c>
      <c r="H126" s="13" t="n">
        <v>6.414615384615384</v>
      </c>
      <c r="I126" t="n">
        <v>2024</v>
      </c>
    </row>
    <row r="127">
      <c r="A127" t="inlineStr">
        <is>
          <t>23460</t>
        </is>
      </c>
      <c r="B127" t="inlineStr">
        <is>
          <t>Gadsden, AL</t>
        </is>
      </c>
      <c r="C127" s="12" t="n">
        <v>41085</v>
      </c>
      <c r="D127" s="4" t="n">
        <v>216106.2981387435</v>
      </c>
      <c r="E127" s="4" t="n">
        <v>57959</v>
      </c>
      <c r="F127" s="4" t="n">
        <v>834</v>
      </c>
      <c r="G127" t="inlineStr">
        <is>
          <t>2026Q2</t>
        </is>
      </c>
      <c r="H127" s="13" t="n">
        <v>6.414615384615384</v>
      </c>
      <c r="I127" t="n">
        <v>2024</v>
      </c>
    </row>
    <row r="128">
      <c r="A128" t="inlineStr">
        <is>
          <t>23540</t>
        </is>
      </c>
      <c r="B128" t="inlineStr">
        <is>
          <t>Gainesville, FL</t>
        </is>
      </c>
      <c r="C128" s="12" t="n">
        <v>152617</v>
      </c>
      <c r="D128" s="4" t="n">
        <v>322142.7499896399</v>
      </c>
      <c r="E128" s="4" t="n">
        <v>61949</v>
      </c>
      <c r="F128" s="4" t="n">
        <v>1377</v>
      </c>
      <c r="G128" t="inlineStr">
        <is>
          <t>2026Q2</t>
        </is>
      </c>
      <c r="H128" s="13" t="n">
        <v>6.414615384615384</v>
      </c>
      <c r="I128" t="n">
        <v>2024</v>
      </c>
    </row>
    <row r="129">
      <c r="A129" t="inlineStr">
        <is>
          <t>23580</t>
        </is>
      </c>
      <c r="B129" t="inlineStr">
        <is>
          <t>Gainesville, GA</t>
        </is>
      </c>
      <c r="C129" s="12" t="n">
        <v>77868</v>
      </c>
      <c r="D129" s="4" t="n">
        <v>434668.6665680373</v>
      </c>
      <c r="E129" s="4" t="n">
        <v>87038</v>
      </c>
      <c r="F129" s="4" t="n">
        <v>1581</v>
      </c>
      <c r="G129" t="inlineStr">
        <is>
          <t>2026Q2</t>
        </is>
      </c>
      <c r="H129" s="13" t="n">
        <v>6.414615384615384</v>
      </c>
      <c r="I129" t="n">
        <v>2024</v>
      </c>
    </row>
    <row r="130">
      <c r="A130" t="inlineStr">
        <is>
          <t>23900</t>
        </is>
      </c>
      <c r="B130" t="inlineStr">
        <is>
          <t>Gettysburg, PA</t>
        </is>
      </c>
      <c r="C130" s="12" t="n">
        <v>42119</v>
      </c>
      <c r="D130" s="4" t="n">
        <v>331061.2403673339</v>
      </c>
      <c r="E130" s="4" t="n">
        <v>86279</v>
      </c>
      <c r="F130" s="4" t="n">
        <v>1171</v>
      </c>
      <c r="G130" t="inlineStr">
        <is>
          <t>2026Q2</t>
        </is>
      </c>
      <c r="H130" s="13" t="n">
        <v>6.414615384615384</v>
      </c>
      <c r="I130" t="n">
        <v>2024</v>
      </c>
    </row>
    <row r="131">
      <c r="A131" t="inlineStr">
        <is>
          <t>24020</t>
        </is>
      </c>
      <c r="B131" t="inlineStr">
        <is>
          <t>Glens Falls, NY</t>
        </is>
      </c>
      <c r="C131" s="12" t="n">
        <v>55888</v>
      </c>
      <c r="D131" s="4" t="n">
        <v>317602.8469750889</v>
      </c>
      <c r="E131" s="4" t="n">
        <v>71090</v>
      </c>
      <c r="F131" s="4" t="n">
        <v>1140</v>
      </c>
      <c r="G131" t="inlineStr">
        <is>
          <t>2026Q2</t>
        </is>
      </c>
      <c r="H131" s="13" t="n">
        <v>6.414615384615384</v>
      </c>
      <c r="I131" t="n">
        <v>2024</v>
      </c>
    </row>
    <row r="132">
      <c r="A132" t="inlineStr">
        <is>
          <t>24140</t>
        </is>
      </c>
      <c r="B132" t="inlineStr">
        <is>
          <t>Goldsboro, NC</t>
        </is>
      </c>
      <c r="C132" s="12" t="n">
        <v>48841</v>
      </c>
      <c r="D132" s="4" t="n">
        <v>204182.6634382567</v>
      </c>
      <c r="E132" s="4" t="n">
        <v>59562</v>
      </c>
      <c r="F132" s="4" t="n">
        <v>1087</v>
      </c>
      <c r="G132" t="inlineStr">
        <is>
          <t>2026Q2</t>
        </is>
      </c>
      <c r="H132" s="13" t="n">
        <v>6.414615384615384</v>
      </c>
      <c r="I132" t="n">
        <v>2024</v>
      </c>
    </row>
    <row r="133">
      <c r="A133" t="inlineStr">
        <is>
          <t>24220</t>
        </is>
      </c>
      <c r="B133" t="inlineStr">
        <is>
          <t>Grand Forks, ND-MN</t>
        </is>
      </c>
      <c r="C133" s="12" t="n">
        <v>45258</v>
      </c>
      <c r="D133" s="4" t="n">
        <v>292776.7793731666</v>
      </c>
      <c r="E133" s="4" t="n">
        <v>69959</v>
      </c>
      <c r="F133" s="4" t="n">
        <v>958</v>
      </c>
      <c r="G133" t="inlineStr">
        <is>
          <t>2026Q2</t>
        </is>
      </c>
      <c r="H133" s="13" t="n">
        <v>6.414615384615384</v>
      </c>
      <c r="I133" t="n">
        <v>2024</v>
      </c>
    </row>
    <row r="134">
      <c r="A134" t="inlineStr">
        <is>
          <t>24260</t>
        </is>
      </c>
      <c r="B134" t="inlineStr">
        <is>
          <t>Grand Island, NE</t>
        </is>
      </c>
      <c r="C134" s="12" t="n">
        <v>31110</v>
      </c>
      <c r="D134" s="4" t="n">
        <v>251803.5327635328</v>
      </c>
      <c r="E134" s="4" t="n">
        <v>68960</v>
      </c>
      <c r="F134" s="4" t="n">
        <v>950</v>
      </c>
      <c r="G134" t="inlineStr">
        <is>
          <t>2026Q2</t>
        </is>
      </c>
      <c r="H134" s="13" t="n">
        <v>6.414615384615384</v>
      </c>
      <c r="I134" t="n">
        <v>2024</v>
      </c>
    </row>
    <row r="135">
      <c r="A135" t="inlineStr">
        <is>
          <t>24300</t>
        </is>
      </c>
      <c r="B135" t="inlineStr">
        <is>
          <t>Grand Junction, CO</t>
        </is>
      </c>
      <c r="C135" s="12" t="n">
        <v>68727</v>
      </c>
      <c r="D135" s="4" t="n">
        <v>466090.1196919329</v>
      </c>
      <c r="E135" s="4" t="n">
        <v>75231</v>
      </c>
      <c r="F135" s="4" t="n">
        <v>1259</v>
      </c>
      <c r="G135" t="inlineStr">
        <is>
          <t>2026Q2</t>
        </is>
      </c>
      <c r="H135" s="13" t="n">
        <v>6.414615384615384</v>
      </c>
      <c r="I135" t="n">
        <v>2024</v>
      </c>
    </row>
    <row r="136">
      <c r="A136" t="inlineStr">
        <is>
          <t>24340</t>
        </is>
      </c>
      <c r="B136" t="inlineStr">
        <is>
          <t>Grand Rapids-Wyoming-Kentwood, MI</t>
        </is>
      </c>
      <c r="C136" s="12" t="n">
        <v>447475</v>
      </c>
      <c r="D136" s="4" t="n">
        <v>358832.7553252734</v>
      </c>
      <c r="E136" s="4" t="n">
        <v>81541</v>
      </c>
      <c r="F136" s="4" t="n">
        <v>1289</v>
      </c>
      <c r="G136" t="inlineStr">
        <is>
          <t>2026Q2</t>
        </is>
      </c>
      <c r="H136" s="13" t="n">
        <v>6.414615384615384</v>
      </c>
      <c r="I136" t="n">
        <v>2024</v>
      </c>
    </row>
    <row r="137">
      <c r="A137" t="inlineStr">
        <is>
          <t>24420</t>
        </is>
      </c>
      <c r="B137" t="inlineStr">
        <is>
          <t>Grants Pass, OR</t>
        </is>
      </c>
      <c r="C137" s="12" t="n">
        <v>36631</v>
      </c>
      <c r="D137" s="4" t="n">
        <v>408862.3645715537</v>
      </c>
      <c r="E137" s="4" t="n">
        <v>59711</v>
      </c>
      <c r="F137" s="4" t="n">
        <v>1249</v>
      </c>
      <c r="G137" t="inlineStr">
        <is>
          <t>2026Q2</t>
        </is>
      </c>
      <c r="H137" s="13" t="n">
        <v>6.414615384615384</v>
      </c>
      <c r="I137" t="n">
        <v>2024</v>
      </c>
    </row>
    <row r="138">
      <c r="A138" t="inlineStr">
        <is>
          <t>24500</t>
        </is>
      </c>
      <c r="B138" t="inlineStr">
        <is>
          <t>Great Falls, MT</t>
        </is>
      </c>
      <c r="C138" s="12" t="n">
        <v>36846</v>
      </c>
      <c r="D138" s="4" t="n">
        <v>342625.4353998281</v>
      </c>
      <c r="E138" s="4" t="n">
        <v>62076</v>
      </c>
      <c r="F138" s="4" t="n">
        <v>1058</v>
      </c>
      <c r="G138" t="inlineStr">
        <is>
          <t>2026Q2</t>
        </is>
      </c>
      <c r="H138" s="13" t="n">
        <v>6.414615384615384</v>
      </c>
      <c r="I138" t="n">
        <v>2024</v>
      </c>
    </row>
    <row r="139">
      <c r="A139" t="inlineStr">
        <is>
          <t>24540</t>
        </is>
      </c>
      <c r="B139" t="inlineStr">
        <is>
          <t>Greeley, CO</t>
        </is>
      </c>
      <c r="C139" s="12" t="n">
        <v>131650</v>
      </c>
      <c r="D139" s="4" t="n">
        <v>531518.5104052575</v>
      </c>
      <c r="E139" s="4" t="n">
        <v>101563</v>
      </c>
      <c r="F139" s="4" t="n">
        <v>1579</v>
      </c>
      <c r="G139" t="inlineStr">
        <is>
          <t>2026Q2</t>
        </is>
      </c>
      <c r="H139" s="13" t="n">
        <v>6.414615384615384</v>
      </c>
      <c r="I139" t="n">
        <v>2024</v>
      </c>
    </row>
    <row r="140">
      <c r="A140" t="inlineStr">
        <is>
          <t>24580</t>
        </is>
      </c>
      <c r="B140" t="inlineStr">
        <is>
          <t>Green Bay, WI</t>
        </is>
      </c>
      <c r="C140" s="12" t="n">
        <v>135961</v>
      </c>
      <c r="D140" s="4" t="n">
        <v>350315.1344756247</v>
      </c>
      <c r="E140" s="4" t="n">
        <v>79876</v>
      </c>
      <c r="F140" s="4" t="n">
        <v>1052</v>
      </c>
      <c r="G140" t="inlineStr">
        <is>
          <t>2026Q2</t>
        </is>
      </c>
      <c r="H140" s="13" t="n">
        <v>6.414615384615384</v>
      </c>
      <c r="I140" t="n">
        <v>2024</v>
      </c>
    </row>
    <row r="141">
      <c r="A141" t="inlineStr">
        <is>
          <t>24660</t>
        </is>
      </c>
      <c r="B141" t="inlineStr">
        <is>
          <t>Greensboro-High Point, NC</t>
        </is>
      </c>
      <c r="C141" s="12" t="n">
        <v>329625</v>
      </c>
      <c r="D141" s="4" t="n">
        <v>289276.4239953407</v>
      </c>
      <c r="E141" s="4" t="n">
        <v>66072</v>
      </c>
      <c r="F141" s="4" t="n">
        <v>1171</v>
      </c>
      <c r="G141" t="inlineStr">
        <is>
          <t>2026Q2</t>
        </is>
      </c>
      <c r="H141" s="13" t="n">
        <v>6.414615384615384</v>
      </c>
      <c r="I141" t="n">
        <v>2024</v>
      </c>
    </row>
    <row r="142">
      <c r="A142" t="inlineStr">
        <is>
          <t>24780</t>
        </is>
      </c>
      <c r="B142" t="inlineStr">
        <is>
          <t>Greenville, NC</t>
        </is>
      </c>
      <c r="C142" s="12" t="n">
        <v>75957</v>
      </c>
      <c r="D142" s="4" t="n">
        <v>261602.0319436181</v>
      </c>
      <c r="E142" s="4" t="n">
        <v>57031</v>
      </c>
      <c r="F142" s="4" t="n">
        <v>986</v>
      </c>
      <c r="G142" t="inlineStr">
        <is>
          <t>2026Q2</t>
        </is>
      </c>
      <c r="H142" s="13" t="n">
        <v>6.414615384615384</v>
      </c>
      <c r="I142" t="n">
        <v>2024</v>
      </c>
    </row>
    <row r="143">
      <c r="A143" t="inlineStr">
        <is>
          <t>24860</t>
        </is>
      </c>
      <c r="B143" t="inlineStr">
        <is>
          <t>Greenville-Anderson-Greer, SC</t>
        </is>
      </c>
      <c r="C143" s="12" t="n">
        <v>399170</v>
      </c>
      <c r="D143" s="4" t="n">
        <v>339280.6588288748</v>
      </c>
      <c r="E143" s="4" t="n">
        <v>75881</v>
      </c>
      <c r="F143" s="4" t="n">
        <v>1236</v>
      </c>
      <c r="G143" t="inlineStr">
        <is>
          <t>2026Q2</t>
        </is>
      </c>
      <c r="H143" s="13" t="n">
        <v>6.414615384615384</v>
      </c>
      <c r="I143" t="n">
        <v>2024</v>
      </c>
    </row>
    <row r="144">
      <c r="A144" t="inlineStr">
        <is>
          <t>25060</t>
        </is>
      </c>
      <c r="B144" t="inlineStr">
        <is>
          <t>Gulfport-Biloxi, MS</t>
        </is>
      </c>
      <c r="C144" s="12" t="n">
        <v>172913</v>
      </c>
      <c r="D144" s="4" t="n">
        <v>245358.7651488704</v>
      </c>
      <c r="E144" s="4" t="n">
        <v>65256</v>
      </c>
      <c r="F144" s="4" t="n">
        <v>1146</v>
      </c>
      <c r="G144" t="inlineStr">
        <is>
          <t>2026Q2</t>
        </is>
      </c>
      <c r="H144" s="13" t="n">
        <v>6.414615384615384</v>
      </c>
      <c r="I144" t="n">
        <v>2024</v>
      </c>
    </row>
    <row r="145">
      <c r="A145" t="inlineStr">
        <is>
          <t>25180</t>
        </is>
      </c>
      <c r="B145" t="inlineStr">
        <is>
          <t>Hagerstown-Martinsburg, MD-WV</t>
        </is>
      </c>
      <c r="C145" s="12" t="n">
        <v>122686</v>
      </c>
      <c r="D145" s="4" t="n">
        <v>330214.1102817241</v>
      </c>
      <c r="E145" s="4" t="n">
        <v>80901</v>
      </c>
      <c r="F145" s="4" t="n">
        <v>1122</v>
      </c>
      <c r="G145" t="inlineStr">
        <is>
          <t>2026Q2</t>
        </is>
      </c>
      <c r="H145" s="13" t="n">
        <v>6.414615384615384</v>
      </c>
      <c r="I145" t="n">
        <v>2024</v>
      </c>
    </row>
    <row r="146">
      <c r="A146" t="inlineStr">
        <is>
          <t>25220</t>
        </is>
      </c>
      <c r="B146" t="inlineStr">
        <is>
          <t>Hammond, LA</t>
        </is>
      </c>
      <c r="C146" s="12" t="n">
        <v>56608</v>
      </c>
      <c r="D146" s="4" t="n">
        <v>249518.3673469388</v>
      </c>
      <c r="E146" s="4" t="n">
        <v>56626</v>
      </c>
      <c r="F146" s="4" t="n">
        <v>1084</v>
      </c>
      <c r="G146" t="inlineStr">
        <is>
          <t>2026Q2</t>
        </is>
      </c>
      <c r="H146" s="13" t="n">
        <v>6.414615384615384</v>
      </c>
      <c r="I146" t="n">
        <v>2024</v>
      </c>
    </row>
    <row r="147">
      <c r="A147" t="inlineStr">
        <is>
          <t>25260</t>
        </is>
      </c>
      <c r="B147" t="inlineStr">
        <is>
          <t>Hanford-Corcoran, CA</t>
        </is>
      </c>
      <c r="C147" s="12" t="n">
        <v>45561</v>
      </c>
      <c r="D147" s="4" t="n">
        <v>404397.315687329</v>
      </c>
      <c r="E147" s="4" t="n">
        <v>73954</v>
      </c>
      <c r="F147" s="4" t="n">
        <v>1421</v>
      </c>
      <c r="G147" t="inlineStr">
        <is>
          <t>2026Q2</t>
        </is>
      </c>
      <c r="H147" s="13" t="n">
        <v>6.414615384615384</v>
      </c>
      <c r="I147" t="n">
        <v>2024</v>
      </c>
    </row>
    <row r="148">
      <c r="A148" t="inlineStr">
        <is>
          <t>25420</t>
        </is>
      </c>
      <c r="B148" t="inlineStr">
        <is>
          <t>Harrisburg-Carlisle, PA</t>
        </is>
      </c>
      <c r="C148" s="12" t="n">
        <v>251165</v>
      </c>
      <c r="D148" s="4" t="n">
        <v>316127.1745972224</v>
      </c>
      <c r="E148" s="4" t="n">
        <v>80904</v>
      </c>
      <c r="F148" s="4" t="n">
        <v>1254</v>
      </c>
      <c r="G148" t="inlineStr">
        <is>
          <t>2026Q2</t>
        </is>
      </c>
      <c r="H148" s="13" t="n">
        <v>6.414615384615384</v>
      </c>
      <c r="I148" t="n">
        <v>2024</v>
      </c>
    </row>
    <row r="149">
      <c r="A149" t="inlineStr">
        <is>
          <t>25500</t>
        </is>
      </c>
      <c r="B149" t="inlineStr">
        <is>
          <t>Harrisonburg, VA</t>
        </is>
      </c>
      <c r="C149" s="12" t="n">
        <v>50870</v>
      </c>
      <c r="D149" s="4" t="n">
        <v>364458.7555702261</v>
      </c>
      <c r="E149" s="4" t="n">
        <v>76570</v>
      </c>
      <c r="F149" s="4" t="n">
        <v>1274</v>
      </c>
      <c r="G149" t="inlineStr">
        <is>
          <t>2026Q2</t>
        </is>
      </c>
      <c r="H149" s="13" t="n">
        <v>6.414615384615384</v>
      </c>
      <c r="I149" t="n">
        <v>2024</v>
      </c>
    </row>
    <row r="150">
      <c r="A150" t="inlineStr">
        <is>
          <t>25540</t>
        </is>
      </c>
      <c r="B150" t="inlineStr">
        <is>
          <t>Hartford-West Hartford-East Hartford, CT</t>
        </is>
      </c>
      <c r="C150" s="12" t="n">
        <v>469594</v>
      </c>
      <c r="D150" s="4" t="n">
        <v>459986.7388742354</v>
      </c>
      <c r="E150" s="4" t="n">
        <v>94419</v>
      </c>
      <c r="F150" s="4" t="n">
        <v>1458</v>
      </c>
      <c r="G150" t="inlineStr">
        <is>
          <t>2026Q2</t>
        </is>
      </c>
      <c r="H150" s="13" t="n">
        <v>6.414615384615384</v>
      </c>
      <c r="I150" t="n">
        <v>2024</v>
      </c>
    </row>
    <row r="151">
      <c r="A151" t="inlineStr">
        <is>
          <t>25620</t>
        </is>
      </c>
      <c r="B151" t="inlineStr">
        <is>
          <t>Hattiesburg, MS</t>
        </is>
      </c>
      <c r="C151" s="12" t="n">
        <v>61958</v>
      </c>
      <c r="D151" s="4" t="n">
        <v>231862.2446165802</v>
      </c>
      <c r="E151" s="4" t="n">
        <v>61871</v>
      </c>
      <c r="F151" s="4" t="n">
        <v>1096</v>
      </c>
      <c r="G151" t="inlineStr">
        <is>
          <t>2026Q2</t>
        </is>
      </c>
      <c r="H151" s="13" t="n">
        <v>6.414615384615384</v>
      </c>
      <c r="I151" t="n">
        <v>2024</v>
      </c>
    </row>
    <row r="152">
      <c r="A152" t="inlineStr">
        <is>
          <t>25740</t>
        </is>
      </c>
      <c r="B152" t="inlineStr">
        <is>
          <t>Helena, MT</t>
        </is>
      </c>
      <c r="C152" s="12" t="n">
        <v>39506</v>
      </c>
      <c r="D152" s="4" t="n">
        <v>522439.5756248584</v>
      </c>
      <c r="E152" s="4" t="n">
        <v>94395</v>
      </c>
      <c r="F152" s="4" t="n">
        <v>1099</v>
      </c>
      <c r="G152" t="inlineStr">
        <is>
          <t>2026Q2</t>
        </is>
      </c>
      <c r="H152" s="13" t="n">
        <v>6.414615384615384</v>
      </c>
      <c r="I152" t="n">
        <v>2024</v>
      </c>
    </row>
    <row r="153">
      <c r="A153" t="inlineStr">
        <is>
          <t>25860</t>
        </is>
      </c>
      <c r="B153" t="inlineStr">
        <is>
          <t>Hickory-Lenoir-Morganton, NC</t>
        </is>
      </c>
      <c r="C153" s="12" t="n">
        <v>153924</v>
      </c>
      <c r="D153" s="4" t="n">
        <v>267014.3652155823</v>
      </c>
      <c r="E153" s="4" t="n">
        <v>64059</v>
      </c>
      <c r="F153" s="4" t="n">
        <v>934</v>
      </c>
      <c r="G153" t="inlineStr">
        <is>
          <t>2026Q2</t>
        </is>
      </c>
      <c r="H153" s="13" t="n">
        <v>6.414615384615384</v>
      </c>
      <c r="I153" t="n">
        <v>2024</v>
      </c>
    </row>
    <row r="154">
      <c r="A154" t="inlineStr">
        <is>
          <t>25940</t>
        </is>
      </c>
      <c r="B154" t="inlineStr">
        <is>
          <t>Hilton Head Island-Bluffton-Port Royal, SC</t>
        </is>
      </c>
      <c r="C154" s="12" t="n">
        <v>105886</v>
      </c>
      <c r="D154" s="4" t="n">
        <v>591291.5049511021</v>
      </c>
      <c r="E154" s="4" t="n">
        <v>88348</v>
      </c>
      <c r="F154" s="4" t="n">
        <v>1903</v>
      </c>
      <c r="G154" t="inlineStr">
        <is>
          <t>2026Q2</t>
        </is>
      </c>
      <c r="H154" s="13" t="n">
        <v>6.414615384615384</v>
      </c>
      <c r="I154" t="n">
        <v>2024</v>
      </c>
    </row>
    <row r="155">
      <c r="A155" t="inlineStr">
        <is>
          <t>25980</t>
        </is>
      </c>
      <c r="B155" t="inlineStr">
        <is>
          <t>Hinesville, GA</t>
        </is>
      </c>
      <c r="C155" s="12" t="n">
        <v>32290</v>
      </c>
      <c r="D155" s="4" t="n">
        <v>271330.1694915254</v>
      </c>
      <c r="E155" s="4" t="n">
        <v>66943</v>
      </c>
      <c r="F155" s="4" t="n">
        <v>1338</v>
      </c>
      <c r="G155" t="inlineStr">
        <is>
          <t>2026Q2</t>
        </is>
      </c>
      <c r="H155" s="13" t="n">
        <v>6.414615384615384</v>
      </c>
      <c r="I155" t="n">
        <v>2024</v>
      </c>
    </row>
    <row r="156">
      <c r="A156" t="inlineStr">
        <is>
          <t>26140</t>
        </is>
      </c>
      <c r="B156" t="inlineStr">
        <is>
          <t>Homosassa Springs, FL</t>
        </is>
      </c>
      <c r="C156" s="12" t="n">
        <v>71970</v>
      </c>
      <c r="D156" s="4" t="n">
        <v>299195.5279829888</v>
      </c>
      <c r="E156" s="4" t="n">
        <v>59481</v>
      </c>
      <c r="F156" s="4" t="n">
        <v>1109</v>
      </c>
      <c r="G156" t="inlineStr">
        <is>
          <t>2026Q2</t>
        </is>
      </c>
      <c r="H156" s="13" t="n">
        <v>6.414615384615384</v>
      </c>
      <c r="I156" t="n">
        <v>2024</v>
      </c>
    </row>
    <row r="157">
      <c r="A157" t="inlineStr">
        <is>
          <t>26300</t>
        </is>
      </c>
      <c r="B157" t="inlineStr">
        <is>
          <t>Hot Springs, AR</t>
        </is>
      </c>
      <c r="C157" s="12" t="n">
        <v>44723</v>
      </c>
      <c r="D157" s="4" t="n">
        <v>222597.0069837047</v>
      </c>
      <c r="E157" s="4" t="n">
        <v>60453</v>
      </c>
      <c r="F157" s="4" t="n">
        <v>1025</v>
      </c>
      <c r="G157" t="inlineStr">
        <is>
          <t>2026Q2</t>
        </is>
      </c>
      <c r="H157" s="13" t="n">
        <v>6.414615384615384</v>
      </c>
      <c r="I157" t="n">
        <v>2024</v>
      </c>
    </row>
    <row r="158">
      <c r="A158" t="inlineStr">
        <is>
          <t>26380</t>
        </is>
      </c>
      <c r="B158" t="inlineStr">
        <is>
          <t>Houma-Bayou Cane-Thibodaux, LA</t>
        </is>
      </c>
      <c r="C158" s="12" t="n">
        <v>81436</v>
      </c>
      <c r="D158" s="4" t="n">
        <v>201190.6332099047</v>
      </c>
      <c r="E158" s="4" t="n">
        <v>62338</v>
      </c>
      <c r="F158" s="4" t="n">
        <v>980</v>
      </c>
      <c r="G158" t="inlineStr">
        <is>
          <t>2026Q2</t>
        </is>
      </c>
      <c r="H158" s="13" t="n">
        <v>6.414615384615384</v>
      </c>
      <c r="I158" t="n">
        <v>2024</v>
      </c>
    </row>
    <row r="159">
      <c r="A159" t="inlineStr">
        <is>
          <t>26420</t>
        </is>
      </c>
      <c r="B159" t="inlineStr">
        <is>
          <t>Houston-Pasadena-The Woodlands, TX</t>
        </is>
      </c>
      <c r="C159" s="12" t="n">
        <v>2768708</v>
      </c>
      <c r="D159" s="4" t="n">
        <v>326817.4268479338</v>
      </c>
      <c r="E159" s="4" t="n">
        <v>81417</v>
      </c>
      <c r="F159" s="4" t="n">
        <v>1469</v>
      </c>
      <c r="G159" t="inlineStr">
        <is>
          <t>2026Q2</t>
        </is>
      </c>
      <c r="H159" s="13" t="n">
        <v>6.414615384615384</v>
      </c>
      <c r="I159" t="n">
        <v>2024</v>
      </c>
    </row>
    <row r="160">
      <c r="A160" t="inlineStr">
        <is>
          <t>26580</t>
        </is>
      </c>
      <c r="B160" t="inlineStr">
        <is>
          <t>Huntington-Ashland, WV-KY-OH</t>
        </is>
      </c>
      <c r="C160" s="12" t="n">
        <v>151790</v>
      </c>
      <c r="D160" s="4" t="n">
        <v>204316.3979926546</v>
      </c>
      <c r="E160" s="4" t="n">
        <v>61741</v>
      </c>
      <c r="F160" s="4" t="n">
        <v>914</v>
      </c>
      <c r="G160" t="inlineStr">
        <is>
          <t>2026Q2</t>
        </is>
      </c>
      <c r="H160" s="13" t="n">
        <v>6.414615384615384</v>
      </c>
      <c r="I160" t="n">
        <v>2024</v>
      </c>
    </row>
    <row r="161">
      <c r="A161" t="inlineStr">
        <is>
          <t>26620</t>
        </is>
      </c>
      <c r="B161" t="inlineStr">
        <is>
          <t>Huntsville, AL</t>
        </is>
      </c>
      <c r="C161" s="12" t="n">
        <v>215125</v>
      </c>
      <c r="D161" s="4" t="n">
        <v>340995.2734819574</v>
      </c>
      <c r="E161" s="4" t="n">
        <v>87049</v>
      </c>
      <c r="F161" s="4" t="n">
        <v>1283</v>
      </c>
      <c r="G161" t="inlineStr">
        <is>
          <t>2026Q2</t>
        </is>
      </c>
      <c r="H161" s="13" t="n">
        <v>6.414615384615384</v>
      </c>
      <c r="I161" t="n">
        <v>2024</v>
      </c>
    </row>
    <row r="162">
      <c r="A162" t="inlineStr">
        <is>
          <t>26820</t>
        </is>
      </c>
      <c r="B162" t="inlineStr">
        <is>
          <t>Idaho Falls, ID</t>
        </is>
      </c>
      <c r="C162" s="12" t="n">
        <v>57508</v>
      </c>
      <c r="D162" s="4" t="n">
        <v>389090.6943303205</v>
      </c>
      <c r="E162" s="4" t="n">
        <v>85767</v>
      </c>
      <c r="F162" s="4" t="n">
        <v>1257</v>
      </c>
      <c r="G162" t="inlineStr">
        <is>
          <t>2026Q2</t>
        </is>
      </c>
      <c r="H162" s="13" t="n">
        <v>6.414615384615384</v>
      </c>
      <c r="I162" t="n">
        <v>2024</v>
      </c>
    </row>
    <row r="163">
      <c r="A163" t="inlineStr">
        <is>
          <t>26900</t>
        </is>
      </c>
      <c r="B163" t="inlineStr">
        <is>
          <t>Indianapolis-Carmel-Greenwood, IN</t>
        </is>
      </c>
      <c r="C163" s="12" t="n">
        <v>869616</v>
      </c>
      <c r="D163" s="4" t="n">
        <v>313926.6970381157</v>
      </c>
      <c r="E163" s="4" t="n">
        <v>80239</v>
      </c>
      <c r="F163" s="4" t="n">
        <v>1273</v>
      </c>
      <c r="G163" t="inlineStr">
        <is>
          <t>2026Q2</t>
        </is>
      </c>
      <c r="H163" s="13" t="n">
        <v>6.414615384615384</v>
      </c>
      <c r="I163" t="n">
        <v>2024</v>
      </c>
    </row>
    <row r="164">
      <c r="A164" t="inlineStr">
        <is>
          <t>26980</t>
        </is>
      </c>
      <c r="B164" t="inlineStr">
        <is>
          <t>Iowa City, IA</t>
        </is>
      </c>
      <c r="C164" s="12" t="n">
        <v>75506</v>
      </c>
      <c r="D164" s="4" t="n">
        <v>349590.8748408554</v>
      </c>
      <c r="E164" s="4" t="n">
        <v>75225</v>
      </c>
      <c r="F164" s="4" t="n">
        <v>1099</v>
      </c>
      <c r="G164" t="inlineStr">
        <is>
          <t>2026Q2</t>
        </is>
      </c>
      <c r="H164" s="13" t="n">
        <v>6.414615384615384</v>
      </c>
      <c r="I164" t="n">
        <v>2024</v>
      </c>
    </row>
    <row r="165">
      <c r="A165" t="inlineStr">
        <is>
          <t>27060</t>
        </is>
      </c>
      <c r="B165" t="inlineStr">
        <is>
          <t>Ithaca, NY</t>
        </is>
      </c>
      <c r="C165" s="12" t="n">
        <v>42058</v>
      </c>
      <c r="D165" s="4" t="n">
        <v>324496.5473495412</v>
      </c>
      <c r="E165" s="4" t="n">
        <v>71948</v>
      </c>
      <c r="F165" s="4" t="n">
        <v>1515</v>
      </c>
      <c r="G165" t="inlineStr">
        <is>
          <t>2026Q2</t>
        </is>
      </c>
      <c r="H165" s="13" t="n">
        <v>6.414615384615384</v>
      </c>
      <c r="I165" t="n">
        <v>2024</v>
      </c>
    </row>
    <row r="166">
      <c r="A166" t="inlineStr">
        <is>
          <t>27100</t>
        </is>
      </c>
      <c r="B166" t="inlineStr">
        <is>
          <t>Jackson, MI</t>
        </is>
      </c>
      <c r="C166" s="12" t="n">
        <v>63446</v>
      </c>
      <c r="D166" s="4" t="n">
        <v>243789.679395764</v>
      </c>
      <c r="E166" s="4" t="n">
        <v>66155</v>
      </c>
      <c r="F166" s="4" t="n">
        <v>965</v>
      </c>
      <c r="G166" t="inlineStr">
        <is>
          <t>2026Q2</t>
        </is>
      </c>
      <c r="H166" s="13" t="n">
        <v>6.414615384615384</v>
      </c>
      <c r="I166" t="n">
        <v>2024</v>
      </c>
    </row>
    <row r="167">
      <c r="A167" t="inlineStr">
        <is>
          <t>27140</t>
        </is>
      </c>
      <c r="B167" t="inlineStr">
        <is>
          <t>Jackson, MS</t>
        </is>
      </c>
      <c r="C167" s="12" t="n">
        <v>241889</v>
      </c>
      <c r="D167" s="4" t="n">
        <v>218159.1352521469</v>
      </c>
      <c r="E167" s="4" t="n">
        <v>64835</v>
      </c>
      <c r="F167" s="4" t="n">
        <v>1100</v>
      </c>
      <c r="G167" t="inlineStr">
        <is>
          <t>2026Q2</t>
        </is>
      </c>
      <c r="H167" s="13" t="n">
        <v>6.414615384615384</v>
      </c>
      <c r="I167" t="n">
        <v>2024</v>
      </c>
    </row>
    <row r="168">
      <c r="A168" t="inlineStr">
        <is>
          <t>27180</t>
        </is>
      </c>
      <c r="B168" t="inlineStr">
        <is>
          <t>Jackson, TN</t>
        </is>
      </c>
      <c r="C168" s="12" t="n">
        <v>75841</v>
      </c>
      <c r="D168" s="4" t="n">
        <v>229993.0903767625</v>
      </c>
      <c r="E168" s="4" t="n">
        <v>62566</v>
      </c>
      <c r="F168" s="4" t="n">
        <v>1102</v>
      </c>
      <c r="G168" t="inlineStr">
        <is>
          <t>2026Q2</t>
        </is>
      </c>
      <c r="H168" s="13" t="n">
        <v>6.414615384615384</v>
      </c>
      <c r="I168" t="n">
        <v>2024</v>
      </c>
    </row>
    <row r="169">
      <c r="A169" t="inlineStr">
        <is>
          <t>27260</t>
        </is>
      </c>
      <c r="B169" t="inlineStr">
        <is>
          <t>Jacksonville, FL</t>
        </is>
      </c>
      <c r="C169" s="12" t="n">
        <v>707683</v>
      </c>
      <c r="D169" s="4" t="n">
        <v>388757.5246649978</v>
      </c>
      <c r="E169" s="4" t="n">
        <v>82053</v>
      </c>
      <c r="F169" s="4" t="n">
        <v>1625</v>
      </c>
      <c r="G169" t="inlineStr">
        <is>
          <t>2026Q2</t>
        </is>
      </c>
      <c r="H169" s="13" t="n">
        <v>6.414615384615384</v>
      </c>
      <c r="I169" t="n">
        <v>2024</v>
      </c>
    </row>
    <row r="170">
      <c r="A170" t="inlineStr">
        <is>
          <t>27340</t>
        </is>
      </c>
      <c r="B170" t="inlineStr">
        <is>
          <t>Jacksonville, NC</t>
        </is>
      </c>
      <c r="C170" s="12" t="n">
        <v>80379</v>
      </c>
      <c r="D170" s="4" t="n">
        <v>308305.4601738302</v>
      </c>
      <c r="E170" s="4" t="n">
        <v>73004</v>
      </c>
      <c r="F170" s="4" t="n">
        <v>1389</v>
      </c>
      <c r="G170" t="inlineStr">
        <is>
          <t>2026Q2</t>
        </is>
      </c>
      <c r="H170" s="13" t="n">
        <v>6.414615384615384</v>
      </c>
      <c r="I170" t="n">
        <v>2024</v>
      </c>
    </row>
    <row r="171">
      <c r="A171" t="inlineStr">
        <is>
          <t>27500</t>
        </is>
      </c>
      <c r="B171" t="inlineStr">
        <is>
          <t>Janesville-Beloit, WI</t>
        </is>
      </c>
      <c r="C171" s="12" t="n">
        <v>68089</v>
      </c>
      <c r="D171" s="4" t="n">
        <v>294918.9677518703</v>
      </c>
      <c r="E171" s="4" t="n">
        <v>70556</v>
      </c>
      <c r="F171" s="4" t="n">
        <v>1150</v>
      </c>
      <c r="G171" t="inlineStr">
        <is>
          <t>2026Q2</t>
        </is>
      </c>
      <c r="H171" s="13" t="n">
        <v>6.414615384615384</v>
      </c>
      <c r="I171" t="n">
        <v>2024</v>
      </c>
    </row>
    <row r="172">
      <c r="A172" t="inlineStr">
        <is>
          <t>27620</t>
        </is>
      </c>
      <c r="B172" t="inlineStr">
        <is>
          <t>Jefferson City, MO</t>
        </is>
      </c>
      <c r="C172" s="12" t="n">
        <v>62284</v>
      </c>
      <c r="D172" s="4" t="n">
        <v>290535.4588176445</v>
      </c>
      <c r="E172" s="4" t="n">
        <v>73164</v>
      </c>
      <c r="F172" s="4" t="n">
        <v>874</v>
      </c>
      <c r="G172" t="inlineStr">
        <is>
          <t>2026Q2</t>
        </is>
      </c>
      <c r="H172" s="13" t="n">
        <v>6.414615384615384</v>
      </c>
      <c r="I172" t="n">
        <v>2024</v>
      </c>
    </row>
    <row r="173">
      <c r="A173" t="inlineStr">
        <is>
          <t>27740</t>
        </is>
      </c>
      <c r="B173" t="inlineStr">
        <is>
          <t>Johnson City, TN</t>
        </is>
      </c>
      <c r="C173" s="12" t="n">
        <v>90662</v>
      </c>
      <c r="D173" s="4" t="n">
        <v>301692.5284440902</v>
      </c>
      <c r="E173" s="4" t="n">
        <v>57462</v>
      </c>
      <c r="F173" s="4" t="n">
        <v>993</v>
      </c>
      <c r="G173" t="inlineStr">
        <is>
          <t>2026Q2</t>
        </is>
      </c>
      <c r="H173" s="13" t="n">
        <v>6.414615384615384</v>
      </c>
      <c r="I173" t="n">
        <v>2024</v>
      </c>
    </row>
    <row r="174">
      <c r="A174" t="inlineStr">
        <is>
          <t>27780</t>
        </is>
      </c>
      <c r="B174" t="inlineStr">
        <is>
          <t>Johnstown, PA</t>
        </is>
      </c>
      <c r="C174" s="12" t="n">
        <v>58011</v>
      </c>
      <c r="D174" s="4" t="n">
        <v>158502.0400491578</v>
      </c>
      <c r="E174" s="4" t="n">
        <v>61786</v>
      </c>
      <c r="F174" s="4" t="n">
        <v>712</v>
      </c>
      <c r="G174" t="inlineStr">
        <is>
          <t>2026Q2</t>
        </is>
      </c>
      <c r="H174" s="13" t="n">
        <v>6.414615384615384</v>
      </c>
      <c r="I174" t="n">
        <v>2024</v>
      </c>
    </row>
    <row r="175">
      <c r="A175" t="inlineStr">
        <is>
          <t>27860</t>
        </is>
      </c>
      <c r="B175" t="inlineStr">
        <is>
          <t>Jonesboro, AR</t>
        </is>
      </c>
      <c r="C175" s="12" t="n">
        <v>54595</v>
      </c>
      <c r="D175" s="4" t="n">
        <v>212414.6810369939</v>
      </c>
      <c r="E175" s="4" t="n">
        <v>55486</v>
      </c>
      <c r="F175" s="4" t="n">
        <v>870</v>
      </c>
      <c r="G175" t="inlineStr">
        <is>
          <t>2026Q2</t>
        </is>
      </c>
      <c r="H175" s="13" t="n">
        <v>6.414615384615384</v>
      </c>
      <c r="I175" t="n">
        <v>2024</v>
      </c>
    </row>
    <row r="176">
      <c r="A176" t="inlineStr">
        <is>
          <t>27900</t>
        </is>
      </c>
      <c r="B176" t="inlineStr">
        <is>
          <t>Joplin, MO-KS</t>
        </is>
      </c>
      <c r="C176" s="12" t="n">
        <v>82501</v>
      </c>
      <c r="D176" s="4" t="n">
        <v>219852.6246969408</v>
      </c>
      <c r="E176" s="4" t="n">
        <v>62796</v>
      </c>
      <c r="F176" s="4" t="n">
        <v>1001</v>
      </c>
      <c r="G176" t="inlineStr">
        <is>
          <t>2026Q2</t>
        </is>
      </c>
      <c r="H176" s="13" t="n">
        <v>6.414615384615384</v>
      </c>
      <c r="I176" t="n">
        <v>2024</v>
      </c>
    </row>
    <row r="177">
      <c r="A177" t="inlineStr">
        <is>
          <t>27980</t>
        </is>
      </c>
      <c r="B177" t="inlineStr">
        <is>
          <t>Kahului-Wailuku, HI</t>
        </is>
      </c>
      <c r="C177" s="12" t="n">
        <v>54645</v>
      </c>
      <c r="D177" s="4" t="n">
        <v>1160886.908807259</v>
      </c>
      <c r="E177" s="4" t="n">
        <v>101168</v>
      </c>
      <c r="F177" s="4" t="n">
        <v>1943</v>
      </c>
      <c r="G177" t="inlineStr">
        <is>
          <t>2026Q2</t>
        </is>
      </c>
      <c r="H177" s="13" t="n">
        <v>6.414615384615384</v>
      </c>
      <c r="I177" t="n">
        <v>2024</v>
      </c>
    </row>
    <row r="178">
      <c r="A178" t="inlineStr">
        <is>
          <t>28020</t>
        </is>
      </c>
      <c r="B178" t="inlineStr">
        <is>
          <t>Kalamazoo-Portage, MI</t>
        </is>
      </c>
      <c r="C178" s="12" t="n">
        <v>108759</v>
      </c>
      <c r="D178" s="4" t="n">
        <v>283823.7343138666</v>
      </c>
      <c r="E178" s="4" t="n">
        <v>71069</v>
      </c>
      <c r="F178" s="4" t="n">
        <v>1080</v>
      </c>
      <c r="G178" t="inlineStr">
        <is>
          <t>2026Q2</t>
        </is>
      </c>
      <c r="H178" s="13" t="n">
        <v>6.414615384615384</v>
      </c>
      <c r="I178" t="n">
        <v>2024</v>
      </c>
    </row>
    <row r="179">
      <c r="A179" t="inlineStr">
        <is>
          <t>28100</t>
        </is>
      </c>
      <c r="B179" t="inlineStr">
        <is>
          <t>Kankakee, IL</t>
        </is>
      </c>
      <c r="C179" s="12" t="n">
        <v>40580</v>
      </c>
      <c r="D179" s="4" t="n">
        <v>250224.0023435974</v>
      </c>
      <c r="E179" s="4" t="n">
        <v>76743</v>
      </c>
      <c r="F179" s="4" t="n">
        <v>1093</v>
      </c>
      <c r="G179" t="inlineStr">
        <is>
          <t>2026Q2</t>
        </is>
      </c>
      <c r="H179" s="13" t="n">
        <v>6.414615384615384</v>
      </c>
      <c r="I179" t="n">
        <v>2024</v>
      </c>
    </row>
    <row r="180">
      <c r="A180" t="inlineStr">
        <is>
          <t>28140</t>
        </is>
      </c>
      <c r="B180" t="inlineStr">
        <is>
          <t>Kansas City, MO-KS</t>
        </is>
      </c>
      <c r="C180" s="12" t="n">
        <v>914522</v>
      </c>
      <c r="D180" s="4" t="n">
        <v>354736.3860744514</v>
      </c>
      <c r="E180" s="4" t="n">
        <v>83785</v>
      </c>
      <c r="F180" s="4" t="n">
        <v>1315</v>
      </c>
      <c r="G180" t="inlineStr">
        <is>
          <t>2026Q2</t>
        </is>
      </c>
      <c r="H180" s="13" t="n">
        <v>6.414615384615384</v>
      </c>
      <c r="I180" t="n">
        <v>2024</v>
      </c>
    </row>
    <row r="181">
      <c r="A181" t="inlineStr">
        <is>
          <t>28420</t>
        </is>
      </c>
      <c r="B181" t="inlineStr">
        <is>
          <t>Kennewick-Richland, WA</t>
        </is>
      </c>
      <c r="C181" s="12" t="n">
        <v>113061</v>
      </c>
      <c r="D181" s="4" t="n">
        <v>429778.0240658645</v>
      </c>
      <c r="E181" s="4" t="n">
        <v>89573</v>
      </c>
      <c r="F181" s="4" t="n">
        <v>1360</v>
      </c>
      <c r="G181" t="inlineStr">
        <is>
          <t>2026Q2</t>
        </is>
      </c>
      <c r="H181" s="13" t="n">
        <v>6.414615384615384</v>
      </c>
      <c r="I181" t="n">
        <v>2024</v>
      </c>
    </row>
    <row r="182">
      <c r="A182" t="inlineStr">
        <is>
          <t>28660</t>
        </is>
      </c>
      <c r="B182" t="inlineStr">
        <is>
          <t>Killeen-Temple, TX</t>
        </is>
      </c>
      <c r="C182" s="12" t="n">
        <v>185783</v>
      </c>
      <c r="D182" s="4" t="n">
        <v>266534.293662589</v>
      </c>
      <c r="E182" s="4" t="n">
        <v>68465</v>
      </c>
      <c r="F182" s="4" t="n">
        <v>1283</v>
      </c>
      <c r="G182" t="inlineStr">
        <is>
          <t>2026Q2</t>
        </is>
      </c>
      <c r="H182" s="13" t="n">
        <v>6.414615384615384</v>
      </c>
      <c r="I182" t="n">
        <v>2024</v>
      </c>
    </row>
    <row r="183">
      <c r="A183" t="inlineStr">
        <is>
          <t>28700</t>
        </is>
      </c>
      <c r="B183" t="inlineStr">
        <is>
          <t>Kingsport-Bristol, TN-VA</t>
        </is>
      </c>
      <c r="C183" s="12" t="n">
        <v>134134</v>
      </c>
      <c r="D183" s="4" t="n">
        <v>279356.5157374904</v>
      </c>
      <c r="E183" s="4" t="n">
        <v>62096</v>
      </c>
      <c r="F183" s="4" t="n">
        <v>917</v>
      </c>
      <c r="G183" t="inlineStr">
        <is>
          <t>2026Q2</t>
        </is>
      </c>
      <c r="H183" s="13" t="n">
        <v>6.414615384615384</v>
      </c>
      <c r="I183" t="n">
        <v>2024</v>
      </c>
    </row>
    <row r="184">
      <c r="A184" t="inlineStr">
        <is>
          <t>28740</t>
        </is>
      </c>
      <c r="B184" t="inlineStr">
        <is>
          <t>Kingston, NY</t>
        </is>
      </c>
      <c r="C184" s="12" t="n">
        <v>76112</v>
      </c>
      <c r="D184" s="4" t="n">
        <v>442900.7844595046</v>
      </c>
      <c r="E184" s="4" t="n">
        <v>87847</v>
      </c>
      <c r="F184" s="4" t="n">
        <v>1586</v>
      </c>
      <c r="G184" t="inlineStr">
        <is>
          <t>2026Q2</t>
        </is>
      </c>
      <c r="H184" s="13" t="n">
        <v>6.414615384615384</v>
      </c>
      <c r="I184" t="n">
        <v>2024</v>
      </c>
    </row>
    <row r="185">
      <c r="A185" t="inlineStr">
        <is>
          <t>28880</t>
        </is>
      </c>
      <c r="B185" t="inlineStr">
        <is>
          <t>Kiryas Joel-Poughkeepsie-Newburgh, NY</t>
        </is>
      </c>
      <c r="C185" s="12" t="n">
        <v>257898</v>
      </c>
      <c r="D185" s="4" t="n">
        <v>522845.840309451</v>
      </c>
      <c r="E185" s="4" t="n">
        <v>95125</v>
      </c>
      <c r="F185" s="4" t="n">
        <v>1688</v>
      </c>
      <c r="G185" t="inlineStr">
        <is>
          <t>2026Q2</t>
        </is>
      </c>
      <c r="H185" s="13" t="n">
        <v>6.414615384615384</v>
      </c>
      <c r="I185" t="n">
        <v>2024</v>
      </c>
    </row>
    <row r="186">
      <c r="A186" t="inlineStr">
        <is>
          <t>28940</t>
        </is>
      </c>
      <c r="B186" t="inlineStr">
        <is>
          <t>Knoxville, TN</t>
        </is>
      </c>
      <c r="C186" s="12" t="n">
        <v>394645</v>
      </c>
      <c r="D186" s="4" t="n">
        <v>375308.4336532266</v>
      </c>
      <c r="E186" s="4" t="n">
        <v>74184</v>
      </c>
      <c r="F186" s="4" t="n">
        <v>1219</v>
      </c>
      <c r="G186" t="inlineStr">
        <is>
          <t>2026Q2</t>
        </is>
      </c>
      <c r="H186" s="13" t="n">
        <v>6.414615384615384</v>
      </c>
      <c r="I186" t="n">
        <v>2024</v>
      </c>
    </row>
    <row r="187">
      <c r="A187" t="inlineStr">
        <is>
          <t>29020</t>
        </is>
      </c>
      <c r="B187" t="inlineStr">
        <is>
          <t>Kokomo, IN</t>
        </is>
      </c>
      <c r="C187" s="12" t="n">
        <v>36678</v>
      </c>
      <c r="D187" s="4" t="n">
        <v>198591.2054686473</v>
      </c>
      <c r="E187" s="4" t="n">
        <v>65267</v>
      </c>
      <c r="F187" s="4" t="n">
        <v>877</v>
      </c>
      <c r="G187" t="inlineStr">
        <is>
          <t>2026Q2</t>
        </is>
      </c>
      <c r="H187" s="13" t="n">
        <v>6.414615384615384</v>
      </c>
      <c r="I187" t="n">
        <v>2024</v>
      </c>
    </row>
    <row r="188">
      <c r="A188" t="inlineStr">
        <is>
          <t>29100</t>
        </is>
      </c>
      <c r="B188" t="inlineStr">
        <is>
          <t>La Crosse-Onalaska, WI-MN</t>
        </is>
      </c>
      <c r="C188" s="12" t="n">
        <v>74398</v>
      </c>
      <c r="D188" s="4" t="n">
        <v>327141.3968980951</v>
      </c>
      <c r="E188" s="4" t="n">
        <v>75117</v>
      </c>
      <c r="F188" s="4" t="n">
        <v>1087</v>
      </c>
      <c r="G188" t="inlineStr">
        <is>
          <t>2026Q2</t>
        </is>
      </c>
      <c r="H188" s="13" t="n">
        <v>6.414615384615384</v>
      </c>
      <c r="I188" t="n">
        <v>2024</v>
      </c>
    </row>
    <row r="189">
      <c r="A189" t="inlineStr">
        <is>
          <t>29180</t>
        </is>
      </c>
      <c r="B189" t="inlineStr">
        <is>
          <t>Lafayette, LA</t>
        </is>
      </c>
      <c r="C189" s="12" t="n">
        <v>165589</v>
      </c>
      <c r="D189" s="4" t="n">
        <v>222416.2332939358</v>
      </c>
      <c r="E189" s="4" t="n">
        <v>60527</v>
      </c>
      <c r="F189" s="4" t="n">
        <v>968</v>
      </c>
      <c r="G189" t="inlineStr">
        <is>
          <t>2026Q2</t>
        </is>
      </c>
      <c r="H189" s="13" t="n">
        <v>6.414615384615384</v>
      </c>
      <c r="I189" t="n">
        <v>2024</v>
      </c>
    </row>
    <row r="190">
      <c r="A190" t="inlineStr">
        <is>
          <t>29200</t>
        </is>
      </c>
      <c r="B190" t="inlineStr">
        <is>
          <t>Lafayette-West Lafayette, IN</t>
        </is>
      </c>
      <c r="C190" s="12" t="n">
        <v>95996</v>
      </c>
      <c r="D190" s="4" t="n">
        <v>267008.4370759337</v>
      </c>
      <c r="E190" s="4" t="n">
        <v>67515</v>
      </c>
      <c r="F190" s="4" t="n">
        <v>1126</v>
      </c>
      <c r="G190" t="inlineStr">
        <is>
          <t>2026Q2</t>
        </is>
      </c>
      <c r="H190" s="13" t="n">
        <v>6.414615384615384</v>
      </c>
      <c r="I190" t="n">
        <v>2024</v>
      </c>
    </row>
    <row r="191">
      <c r="A191" t="inlineStr">
        <is>
          <t>29340</t>
        </is>
      </c>
      <c r="B191" t="inlineStr">
        <is>
          <t>Lake Charles, LA</t>
        </is>
      </c>
      <c r="C191" s="12" t="n">
        <v>97635</v>
      </c>
      <c r="D191" s="4" t="n">
        <v>205164.8250340843</v>
      </c>
      <c r="E191" s="4" t="n">
        <v>65144</v>
      </c>
      <c r="F191" s="4" t="n">
        <v>977</v>
      </c>
      <c r="G191" t="inlineStr">
        <is>
          <t>2026Q2</t>
        </is>
      </c>
      <c r="H191" s="13" t="n">
        <v>6.414615384615384</v>
      </c>
      <c r="I191" t="n">
        <v>2024</v>
      </c>
    </row>
    <row r="192">
      <c r="A192" t="inlineStr">
        <is>
          <t>29420</t>
        </is>
      </c>
      <c r="B192" t="inlineStr">
        <is>
          <t>Lake Havasu City-Kingman, AZ</t>
        </is>
      </c>
      <c r="C192" s="12" t="n">
        <v>112957</v>
      </c>
      <c r="D192" s="4" t="n">
        <v>306746.1874696455</v>
      </c>
      <c r="E192" s="4" t="n">
        <v>60952</v>
      </c>
      <c r="F192" s="4" t="n">
        <v>1120</v>
      </c>
      <c r="G192" t="inlineStr">
        <is>
          <t>2026Q2</t>
        </is>
      </c>
      <c r="H192" s="13" t="n">
        <v>6.414615384615384</v>
      </c>
      <c r="I192" t="n">
        <v>2024</v>
      </c>
    </row>
    <row r="193">
      <c r="A193" t="inlineStr">
        <is>
          <t>29460</t>
        </is>
      </c>
      <c r="B193" t="inlineStr">
        <is>
          <t>Lakeland-Winter Haven, FL</t>
        </is>
      </c>
      <c r="C193" s="12" t="n">
        <v>314272</v>
      </c>
      <c r="D193" s="4" t="n">
        <v>306030.2777064832</v>
      </c>
      <c r="E193" s="4" t="n">
        <v>66779</v>
      </c>
      <c r="F193" s="4" t="n">
        <v>1484</v>
      </c>
      <c r="G193" t="inlineStr">
        <is>
          <t>2026Q2</t>
        </is>
      </c>
      <c r="H193" s="13" t="n">
        <v>6.414615384615384</v>
      </c>
      <c r="I193" t="n">
        <v>2024</v>
      </c>
    </row>
    <row r="194">
      <c r="A194" t="inlineStr">
        <is>
          <t>29540</t>
        </is>
      </c>
      <c r="B194" t="inlineStr">
        <is>
          <t>Lancaster, PA</t>
        </is>
      </c>
      <c r="C194" s="12" t="n">
        <v>217820</v>
      </c>
      <c r="D194" s="4" t="n">
        <v>405803.7381556945</v>
      </c>
      <c r="E194" s="4" t="n">
        <v>85802</v>
      </c>
      <c r="F194" s="4" t="n">
        <v>1449</v>
      </c>
      <c r="G194" t="inlineStr">
        <is>
          <t>2026Q2</t>
        </is>
      </c>
      <c r="H194" s="13" t="n">
        <v>6.414615384615384</v>
      </c>
      <c r="I194" t="n">
        <v>2024</v>
      </c>
    </row>
    <row r="195">
      <c r="A195" t="inlineStr">
        <is>
          <t>29620</t>
        </is>
      </c>
      <c r="B195" t="inlineStr">
        <is>
          <t>Lansing-East Lansing, MI</t>
        </is>
      </c>
      <c r="C195" s="12" t="n">
        <v>197873</v>
      </c>
      <c r="D195" s="4" t="n">
        <v>265307.9917511794</v>
      </c>
      <c r="E195" s="4" t="n">
        <v>72010</v>
      </c>
      <c r="F195" s="4" t="n">
        <v>1111</v>
      </c>
      <c r="G195" t="inlineStr">
        <is>
          <t>2026Q2</t>
        </is>
      </c>
      <c r="H195" s="13" t="n">
        <v>6.414615384615384</v>
      </c>
      <c r="I195" t="n">
        <v>2024</v>
      </c>
    </row>
    <row r="196">
      <c r="A196" t="inlineStr">
        <is>
          <t>29700</t>
        </is>
      </c>
      <c r="B196" t="inlineStr">
        <is>
          <t>Laredo, TX</t>
        </is>
      </c>
      <c r="C196" s="12" t="n">
        <v>84177</v>
      </c>
      <c r="D196" s="4" t="n">
        <v>214269.4516005443</v>
      </c>
      <c r="E196" s="4" t="n">
        <v>60580</v>
      </c>
      <c r="F196" s="4" t="n">
        <v>1056</v>
      </c>
      <c r="G196" t="inlineStr">
        <is>
          <t>2026Q2</t>
        </is>
      </c>
      <c r="H196" s="13" t="n">
        <v>6.414615384615384</v>
      </c>
      <c r="I196" t="n">
        <v>2024</v>
      </c>
    </row>
    <row r="197">
      <c r="A197" t="inlineStr">
        <is>
          <t>29740</t>
        </is>
      </c>
      <c r="B197" t="inlineStr">
        <is>
          <t>Las Cruces, NM</t>
        </is>
      </c>
      <c r="C197" s="12" t="n">
        <v>86249</v>
      </c>
      <c r="D197" s="4" t="n">
        <v>259346.2828059677</v>
      </c>
      <c r="E197" s="4" t="n">
        <v>61154</v>
      </c>
      <c r="F197" s="4" t="n">
        <v>1031</v>
      </c>
      <c r="G197" t="inlineStr">
        <is>
          <t>2026Q2</t>
        </is>
      </c>
      <c r="H197" s="13" t="n">
        <v>6.414615384615384</v>
      </c>
      <c r="I197" t="n">
        <v>2024</v>
      </c>
    </row>
    <row r="198">
      <c r="A198" t="inlineStr">
        <is>
          <t>29820</t>
        </is>
      </c>
      <c r="B198" t="inlineStr">
        <is>
          <t>Las Vegas-Henderson-North Las Vegas, NV</t>
        </is>
      </c>
      <c r="C198" s="12" t="n">
        <v>890338</v>
      </c>
      <c r="D198" s="4" t="n">
        <v>517623.1559049706</v>
      </c>
      <c r="E198" s="4" t="n">
        <v>80028</v>
      </c>
      <c r="F198" s="4" t="n">
        <v>1739</v>
      </c>
      <c r="G198" t="inlineStr">
        <is>
          <t>2026Q2</t>
        </is>
      </c>
      <c r="H198" s="13" t="n">
        <v>6.414615384615384</v>
      </c>
      <c r="I198" t="n">
        <v>2024</v>
      </c>
    </row>
    <row r="199">
      <c r="A199" t="inlineStr">
        <is>
          <t>29940</t>
        </is>
      </c>
      <c r="B199" t="inlineStr">
        <is>
          <t>Lawrence, KS</t>
        </is>
      </c>
      <c r="C199" s="12" t="n">
        <v>51307</v>
      </c>
      <c r="D199" s="4" t="n">
        <v>346813.9494251802</v>
      </c>
      <c r="E199" s="4" t="n">
        <v>72449</v>
      </c>
      <c r="F199" s="4" t="n">
        <v>1100</v>
      </c>
      <c r="G199" t="inlineStr">
        <is>
          <t>2026Q2</t>
        </is>
      </c>
      <c r="H199" s="13" t="n">
        <v>6.414615384615384</v>
      </c>
      <c r="I199" t="n">
        <v>2024</v>
      </c>
    </row>
    <row r="200">
      <c r="A200" t="inlineStr">
        <is>
          <t>30020</t>
        </is>
      </c>
      <c r="B200" t="inlineStr">
        <is>
          <t>Lawton, OK</t>
        </is>
      </c>
      <c r="C200" s="12" t="n">
        <v>47236</v>
      </c>
      <c r="D200" s="4" t="n">
        <v>199648.4062919561</v>
      </c>
      <c r="E200" s="4" t="n">
        <v>61848</v>
      </c>
      <c r="F200" s="4" t="n">
        <v>1001</v>
      </c>
      <c r="G200" t="inlineStr">
        <is>
          <t>2026Q2</t>
        </is>
      </c>
      <c r="H200" s="13" t="n">
        <v>6.414615384615384</v>
      </c>
      <c r="I200" t="n">
        <v>2024</v>
      </c>
    </row>
    <row r="201">
      <c r="A201" t="inlineStr">
        <is>
          <t>30140</t>
        </is>
      </c>
      <c r="B201" t="inlineStr">
        <is>
          <t>Lebanon, PA</t>
        </is>
      </c>
      <c r="C201" s="12" t="n">
        <v>58914</v>
      </c>
      <c r="D201" s="4" t="n">
        <v>316101.905117669</v>
      </c>
      <c r="E201" s="4" t="n">
        <v>72275</v>
      </c>
      <c r="F201" s="4" t="n">
        <v>1159</v>
      </c>
      <c r="G201" t="inlineStr">
        <is>
          <t>2026Q2</t>
        </is>
      </c>
      <c r="H201" s="13" t="n">
        <v>6.414615384615384</v>
      </c>
      <c r="I201" t="n">
        <v>2024</v>
      </c>
    </row>
    <row r="202">
      <c r="A202" t="inlineStr">
        <is>
          <t>30300</t>
        </is>
      </c>
      <c r="B202" t="inlineStr">
        <is>
          <t>Lewiston, ID-WA</t>
        </is>
      </c>
      <c r="C202" s="12" t="n">
        <v>27518</v>
      </c>
      <c r="D202" s="4" t="n">
        <v>379378.6840663034</v>
      </c>
      <c r="E202" s="4" t="n">
        <v>77382</v>
      </c>
      <c r="F202" s="4" t="n">
        <v>1171</v>
      </c>
      <c r="G202" t="inlineStr">
        <is>
          <t>2026Q2</t>
        </is>
      </c>
      <c r="H202" s="13" t="n">
        <v>6.414615384615384</v>
      </c>
      <c r="I202" t="n">
        <v>2024</v>
      </c>
    </row>
    <row r="203">
      <c r="A203" t="inlineStr">
        <is>
          <t>30340</t>
        </is>
      </c>
      <c r="B203" t="inlineStr">
        <is>
          <t>Lewiston-Auburn, ME</t>
        </is>
      </c>
      <c r="C203" s="12" t="n">
        <v>47272</v>
      </c>
      <c r="D203" s="4" t="n">
        <v>340671.4307477764</v>
      </c>
      <c r="E203" s="4" t="n">
        <v>68775</v>
      </c>
      <c r="F203" s="4" t="n">
        <v>1076</v>
      </c>
      <c r="G203" t="inlineStr">
        <is>
          <t>2026Q2</t>
        </is>
      </c>
      <c r="H203" s="13" t="n">
        <v>6.414615384615384</v>
      </c>
      <c r="I203" t="n">
        <v>2024</v>
      </c>
    </row>
    <row r="204">
      <c r="A204" t="inlineStr">
        <is>
          <t>30500</t>
        </is>
      </c>
      <c r="B204" t="inlineStr">
        <is>
          <t>Lexington Park, MD</t>
        </is>
      </c>
      <c r="C204" s="12" t="n">
        <v>76250</v>
      </c>
      <c r="D204" s="4" t="n">
        <v>481417.2094279574</v>
      </c>
      <c r="E204" s="4" t="n">
        <v>122406</v>
      </c>
      <c r="F204" s="4" t="n">
        <v>1733</v>
      </c>
      <c r="G204" t="inlineStr">
        <is>
          <t>2026Q2</t>
        </is>
      </c>
      <c r="H204" s="13" t="n">
        <v>6.414615384615384</v>
      </c>
      <c r="I204" t="n">
        <v>2024</v>
      </c>
    </row>
    <row r="205">
      <c r="A205" t="inlineStr">
        <is>
          <t>30460</t>
        </is>
      </c>
      <c r="B205" t="inlineStr">
        <is>
          <t>Lexington-Fayette, KY</t>
        </is>
      </c>
      <c r="C205" s="12" t="n">
        <v>221234</v>
      </c>
      <c r="D205" s="4" t="n">
        <v>350115.9252521911</v>
      </c>
      <c r="E205" s="4" t="n">
        <v>71444</v>
      </c>
      <c r="F205" s="4" t="n">
        <v>1245</v>
      </c>
      <c r="G205" t="inlineStr">
        <is>
          <t>2026Q2</t>
        </is>
      </c>
      <c r="H205" s="13" t="n">
        <v>6.414615384615384</v>
      </c>
      <c r="I205" t="n">
        <v>2024</v>
      </c>
    </row>
    <row r="206">
      <c r="A206" t="inlineStr">
        <is>
          <t>30620</t>
        </is>
      </c>
      <c r="B206" t="inlineStr">
        <is>
          <t>Lima, OH</t>
        </is>
      </c>
      <c r="C206" s="12" t="n">
        <v>41808</v>
      </c>
      <c r="D206" s="4" t="n">
        <v>227302.0171270875</v>
      </c>
      <c r="E206" s="4" t="n">
        <v>67668</v>
      </c>
      <c r="F206" s="4" t="n">
        <v>889</v>
      </c>
      <c r="G206" t="inlineStr">
        <is>
          <t>2026Q2</t>
        </is>
      </c>
      <c r="H206" s="13" t="n">
        <v>6.414615384615384</v>
      </c>
      <c r="I206" t="n">
        <v>2024</v>
      </c>
    </row>
    <row r="207">
      <c r="A207" t="inlineStr">
        <is>
          <t>30700</t>
        </is>
      </c>
      <c r="B207" t="inlineStr">
        <is>
          <t>Lincoln, NE</t>
        </is>
      </c>
      <c r="C207" s="12" t="n">
        <v>146302</v>
      </c>
      <c r="D207" s="4" t="n">
        <v>316475.2161417369</v>
      </c>
      <c r="E207" s="4" t="n">
        <v>74935</v>
      </c>
      <c r="F207" s="4" t="n">
        <v>1114</v>
      </c>
      <c r="G207" t="inlineStr">
        <is>
          <t>2026Q2</t>
        </is>
      </c>
      <c r="H207" s="13" t="n">
        <v>6.414615384615384</v>
      </c>
      <c r="I207" t="n">
        <v>2024</v>
      </c>
    </row>
    <row r="208">
      <c r="A208" t="inlineStr">
        <is>
          <t>30780</t>
        </is>
      </c>
      <c r="B208" t="inlineStr">
        <is>
          <t>Little Rock-North Little Rock-Conway, AR</t>
        </is>
      </c>
      <c r="C208" s="12" t="n">
        <v>321875</v>
      </c>
      <c r="D208" s="4" t="n">
        <v>247348.5817857191</v>
      </c>
      <c r="E208" s="4" t="n">
        <v>68344</v>
      </c>
      <c r="F208" s="4" t="n">
        <v>1093</v>
      </c>
      <c r="G208" t="inlineStr">
        <is>
          <t>2026Q2</t>
        </is>
      </c>
      <c r="H208" s="13" t="n">
        <v>6.414615384615384</v>
      </c>
      <c r="I208" t="n">
        <v>2024</v>
      </c>
    </row>
    <row r="209">
      <c r="A209" t="inlineStr">
        <is>
          <t>30860</t>
        </is>
      </c>
      <c r="B209" t="inlineStr">
        <is>
          <t>Logan, UT-ID</t>
        </is>
      </c>
      <c r="C209" s="12" t="n">
        <v>51100</v>
      </c>
      <c r="D209" s="4" t="n">
        <v>483384.4990548204</v>
      </c>
      <c r="E209" s="4" t="n">
        <v>81144</v>
      </c>
      <c r="F209" s="4" t="n">
        <v>1311</v>
      </c>
      <c r="G209" t="inlineStr">
        <is>
          <t>2026Q2</t>
        </is>
      </c>
      <c r="H209" s="13" t="n">
        <v>6.414615384615384</v>
      </c>
      <c r="I209" t="n">
        <v>2024</v>
      </c>
    </row>
    <row r="210">
      <c r="A210" t="inlineStr">
        <is>
          <t>30980</t>
        </is>
      </c>
      <c r="B210" t="inlineStr">
        <is>
          <t>Longview, TX</t>
        </is>
      </c>
      <c r="C210" s="12" t="n">
        <v>111483</v>
      </c>
      <c r="D210" s="4" t="n">
        <v>250946.8463814399</v>
      </c>
      <c r="E210" s="4" t="n">
        <v>65711</v>
      </c>
      <c r="F210" s="4" t="n">
        <v>1091</v>
      </c>
      <c r="G210" t="inlineStr">
        <is>
          <t>2026Q2</t>
        </is>
      </c>
      <c r="H210" s="13" t="n">
        <v>6.414615384615384</v>
      </c>
      <c r="I210" t="n">
        <v>2024</v>
      </c>
    </row>
    <row r="211">
      <c r="A211" t="inlineStr">
        <is>
          <t>31020</t>
        </is>
      </c>
      <c r="B211" t="inlineStr">
        <is>
          <t>Longview-Kelso, WA</t>
        </is>
      </c>
      <c r="C211" s="12" t="n">
        <v>45444</v>
      </c>
      <c r="D211" s="4" t="n">
        <v>458980.9821175134</v>
      </c>
      <c r="E211" s="4" t="n">
        <v>78460</v>
      </c>
      <c r="F211" s="4" t="n">
        <v>1173</v>
      </c>
      <c r="G211" t="inlineStr">
        <is>
          <t>2026Q2</t>
        </is>
      </c>
      <c r="H211" s="13" t="n">
        <v>6.414615384615384</v>
      </c>
      <c r="I211" t="n">
        <v>2024</v>
      </c>
    </row>
    <row r="212">
      <c r="A212" t="inlineStr">
        <is>
          <t>31080</t>
        </is>
      </c>
      <c r="B212" t="inlineStr">
        <is>
          <t>Los Angeles-Long Beach-Anaheim, CA</t>
        </is>
      </c>
      <c r="C212" s="12" t="n">
        <v>4583939</v>
      </c>
      <c r="D212" s="4" t="n">
        <v>1032766.440132043</v>
      </c>
      <c r="E212" s="4" t="n">
        <v>96405</v>
      </c>
      <c r="F212" s="4" t="n">
        <v>2114</v>
      </c>
      <c r="G212" t="inlineStr">
        <is>
          <t>2026Q2</t>
        </is>
      </c>
      <c r="H212" s="13" t="n">
        <v>6.414615384615384</v>
      </c>
      <c r="I212" t="n">
        <v>2024</v>
      </c>
    </row>
    <row r="213">
      <c r="A213" t="inlineStr">
        <is>
          <t>31140</t>
        </is>
      </c>
      <c r="B213" t="inlineStr">
        <is>
          <t>Louisville/Jefferson County, KY-IN</t>
        </is>
      </c>
      <c r="C213" s="12" t="n">
        <v>570303</v>
      </c>
      <c r="D213" s="4" t="n">
        <v>302039.5218932068</v>
      </c>
      <c r="E213" s="4" t="n">
        <v>74305</v>
      </c>
      <c r="F213" s="4" t="n">
        <v>1140</v>
      </c>
      <c r="G213" t="inlineStr">
        <is>
          <t>2026Q2</t>
        </is>
      </c>
      <c r="H213" s="13" t="n">
        <v>6.414615384615384</v>
      </c>
      <c r="I213" t="n">
        <v>2024</v>
      </c>
    </row>
    <row r="214">
      <c r="A214" t="inlineStr">
        <is>
          <t>31180</t>
        </is>
      </c>
      <c r="B214" t="inlineStr">
        <is>
          <t>Lubbock, TX</t>
        </is>
      </c>
      <c r="C214" s="12" t="n">
        <v>143160</v>
      </c>
      <c r="D214" s="4" t="n">
        <v>219165.2600806701</v>
      </c>
      <c r="E214" s="4" t="n">
        <v>64469</v>
      </c>
      <c r="F214" s="4" t="n">
        <v>1207</v>
      </c>
      <c r="G214" t="inlineStr">
        <is>
          <t>2026Q2</t>
        </is>
      </c>
      <c r="H214" s="13" t="n">
        <v>6.414615384615384</v>
      </c>
      <c r="I214" t="n">
        <v>2024</v>
      </c>
    </row>
    <row r="215">
      <c r="A215" t="inlineStr">
        <is>
          <t>31340</t>
        </is>
      </c>
      <c r="B215" t="inlineStr">
        <is>
          <t>Lynchburg, VA</t>
        </is>
      </c>
      <c r="C215" s="12" t="n">
        <v>107298</v>
      </c>
      <c r="D215" s="4" t="n">
        <v>300760.7900877182</v>
      </c>
      <c r="E215" s="4" t="n">
        <v>65735</v>
      </c>
      <c r="F215" s="4" t="n">
        <v>1065</v>
      </c>
      <c r="G215" t="inlineStr">
        <is>
          <t>2026Q2</t>
        </is>
      </c>
      <c r="H215" s="13" t="n">
        <v>6.414615384615384</v>
      </c>
      <c r="I215" t="n">
        <v>2024</v>
      </c>
    </row>
    <row r="216">
      <c r="A216" t="inlineStr">
        <is>
          <t>31420</t>
        </is>
      </c>
      <c r="B216" t="inlineStr">
        <is>
          <t>Macon-Bibb County, GA</t>
        </is>
      </c>
      <c r="C216" s="12" t="n">
        <v>89704</v>
      </c>
      <c r="D216" s="4" t="n">
        <v>221543.7637640856</v>
      </c>
      <c r="E216" s="4" t="n">
        <v>56638</v>
      </c>
      <c r="F216" s="4" t="n">
        <v>1104</v>
      </c>
      <c r="G216" t="inlineStr">
        <is>
          <t>2026Q2</t>
        </is>
      </c>
      <c r="H216" s="13" t="n">
        <v>6.414615384615384</v>
      </c>
      <c r="I216" t="n">
        <v>2024</v>
      </c>
    </row>
    <row r="217">
      <c r="A217" t="inlineStr">
        <is>
          <t>31540</t>
        </is>
      </c>
      <c r="B217" t="inlineStr">
        <is>
          <t>Madison, WI</t>
        </is>
      </c>
      <c r="C217" s="12" t="n">
        <v>309316</v>
      </c>
      <c r="D217" s="4" t="n">
        <v>468955.585609954</v>
      </c>
      <c r="E217" s="4" t="n">
        <v>89714</v>
      </c>
      <c r="F217" s="4" t="n">
        <v>1437</v>
      </c>
      <c r="G217" t="inlineStr">
        <is>
          <t>2026Q2</t>
        </is>
      </c>
      <c r="H217" s="13" t="n">
        <v>6.414615384615384</v>
      </c>
      <c r="I217" t="n">
        <v>2024</v>
      </c>
    </row>
    <row r="218">
      <c r="A218" t="inlineStr">
        <is>
          <t>31700</t>
        </is>
      </c>
      <c r="B218" t="inlineStr">
        <is>
          <t>Manchester-Nashua, NH</t>
        </is>
      </c>
      <c r="C218" s="12" t="n">
        <v>171415</v>
      </c>
      <c r="D218" s="4" t="n">
        <v>540901.5497173262</v>
      </c>
      <c r="E218" s="4" t="n">
        <v>106013</v>
      </c>
      <c r="F218" s="4" t="n">
        <v>1714</v>
      </c>
      <c r="G218" t="inlineStr">
        <is>
          <t>2026Q2</t>
        </is>
      </c>
      <c r="H218" s="13" t="n">
        <v>6.414615384615384</v>
      </c>
      <c r="I218" t="n">
        <v>2024</v>
      </c>
    </row>
    <row r="219">
      <c r="A219" t="inlineStr">
        <is>
          <t>31740</t>
        </is>
      </c>
      <c r="B219" t="inlineStr">
        <is>
          <t>Manhattan, KS</t>
        </is>
      </c>
      <c r="C219" s="12" t="n">
        <v>52415</v>
      </c>
      <c r="D219" s="4" t="n">
        <v>282694.0234273514</v>
      </c>
      <c r="E219" s="4" t="n">
        <v>70324</v>
      </c>
      <c r="F219" s="4" t="n">
        <v>1070</v>
      </c>
      <c r="G219" t="inlineStr">
        <is>
          <t>2026Q2</t>
        </is>
      </c>
      <c r="H219" s="13" t="n">
        <v>6.414615384615384</v>
      </c>
      <c r="I219" t="n">
        <v>2024</v>
      </c>
    </row>
    <row r="220">
      <c r="A220" t="inlineStr">
        <is>
          <t>31860</t>
        </is>
      </c>
      <c r="B220" t="inlineStr">
        <is>
          <t>Mankato, MN</t>
        </is>
      </c>
      <c r="C220" s="12" t="n">
        <v>41635</v>
      </c>
      <c r="D220" s="4" t="n">
        <v>304900.6355603783</v>
      </c>
      <c r="E220" s="4" t="n">
        <v>74426</v>
      </c>
      <c r="F220" s="4" t="n">
        <v>1049</v>
      </c>
      <c r="G220" t="inlineStr">
        <is>
          <t>2026Q2</t>
        </is>
      </c>
      <c r="H220" s="13" t="n">
        <v>6.414615384615384</v>
      </c>
      <c r="I220" t="n">
        <v>2024</v>
      </c>
    </row>
    <row r="221">
      <c r="A221" t="inlineStr">
        <is>
          <t>31900</t>
        </is>
      </c>
      <c r="B221" t="inlineStr">
        <is>
          <t>Mansfield, OH</t>
        </is>
      </c>
      <c r="C221" s="12" t="n">
        <v>49979</v>
      </c>
      <c r="D221" s="4" t="n">
        <v>211006.5133923791</v>
      </c>
      <c r="E221" s="4" t="n">
        <v>66312</v>
      </c>
      <c r="F221" s="4" t="n">
        <v>862</v>
      </c>
      <c r="G221" t="inlineStr">
        <is>
          <t>2026Q2</t>
        </is>
      </c>
      <c r="H221" s="13" t="n">
        <v>6.414615384615384</v>
      </c>
      <c r="I221" t="n">
        <v>2024</v>
      </c>
    </row>
    <row r="222">
      <c r="A222" t="inlineStr">
        <is>
          <t>32580</t>
        </is>
      </c>
      <c r="B222" t="inlineStr">
        <is>
          <t>McAllen-Edinburg-Mission, TX</t>
        </is>
      </c>
      <c r="C222" s="12" t="n">
        <v>281450</v>
      </c>
      <c r="D222" s="4" t="n">
        <v>162170.7022272663</v>
      </c>
      <c r="E222" s="4" t="n">
        <v>56720</v>
      </c>
      <c r="F222" s="4" t="n">
        <v>971</v>
      </c>
      <c r="G222" t="inlineStr">
        <is>
          <t>2026Q2</t>
        </is>
      </c>
      <c r="H222" s="13" t="n">
        <v>6.414615384615384</v>
      </c>
      <c r="I222" t="n">
        <v>2024</v>
      </c>
    </row>
    <row r="223">
      <c r="A223" t="inlineStr">
        <is>
          <t>32780</t>
        </is>
      </c>
      <c r="B223" t="inlineStr">
        <is>
          <t>Medford, OR</t>
        </is>
      </c>
      <c r="C223" s="12" t="n">
        <v>94053</v>
      </c>
      <c r="D223" s="4" t="n">
        <v>472376.1851538859</v>
      </c>
      <c r="E223" s="4" t="n">
        <v>74653</v>
      </c>
      <c r="F223" s="4" t="n">
        <v>1369</v>
      </c>
      <c r="G223" t="inlineStr">
        <is>
          <t>2026Q2</t>
        </is>
      </c>
      <c r="H223" s="13" t="n">
        <v>6.414615384615384</v>
      </c>
      <c r="I223" t="n">
        <v>2024</v>
      </c>
    </row>
    <row r="224">
      <c r="A224" t="inlineStr">
        <is>
          <t>32820</t>
        </is>
      </c>
      <c r="B224" t="inlineStr">
        <is>
          <t>Memphis, TN-MS-AR</t>
        </is>
      </c>
      <c r="C224" s="12" t="n">
        <v>527810</v>
      </c>
      <c r="D224" s="4" t="n">
        <v>266667.5370491257</v>
      </c>
      <c r="E224" s="4" t="n">
        <v>68124</v>
      </c>
      <c r="F224" s="4" t="n">
        <v>1330</v>
      </c>
      <c r="G224" t="inlineStr">
        <is>
          <t>2026Q2</t>
        </is>
      </c>
      <c r="H224" s="13" t="n">
        <v>6.414615384615384</v>
      </c>
      <c r="I224" t="n">
        <v>2024</v>
      </c>
    </row>
    <row r="225">
      <c r="A225" t="inlineStr">
        <is>
          <t>32900</t>
        </is>
      </c>
      <c r="B225" t="inlineStr">
        <is>
          <t>Merced, CA</t>
        </is>
      </c>
      <c r="C225" s="12" t="n">
        <v>87632</v>
      </c>
      <c r="D225" s="4" t="n">
        <v>426770.1952660919</v>
      </c>
      <c r="E225" s="4" t="n">
        <v>64980</v>
      </c>
      <c r="F225" s="4" t="n">
        <v>1462</v>
      </c>
      <c r="G225" t="inlineStr">
        <is>
          <t>2026Q2</t>
        </is>
      </c>
      <c r="H225" s="13" t="n">
        <v>6.414615384615384</v>
      </c>
      <c r="I225" t="n">
        <v>2024</v>
      </c>
    </row>
    <row r="226">
      <c r="A226" t="inlineStr">
        <is>
          <t>33100</t>
        </is>
      </c>
      <c r="B226" t="inlineStr">
        <is>
          <t>Miami-Fort Lauderdale-West Palm Beach, FL</t>
        </is>
      </c>
      <c r="C226" s="12" t="n">
        <v>2382154</v>
      </c>
      <c r="D226" s="4" t="n">
        <v>596393.177675768</v>
      </c>
      <c r="E226" s="4" t="n">
        <v>80625</v>
      </c>
      <c r="F226" s="4" t="n">
        <v>2083</v>
      </c>
      <c r="G226" t="inlineStr">
        <is>
          <t>2026Q2</t>
        </is>
      </c>
      <c r="H226" s="13" t="n">
        <v>6.414615384615384</v>
      </c>
      <c r="I226" t="n">
        <v>2024</v>
      </c>
    </row>
    <row r="227">
      <c r="A227" t="inlineStr">
        <is>
          <t>33140</t>
        </is>
      </c>
      <c r="B227" t="inlineStr">
        <is>
          <t>Michigan City-La Porte, IN</t>
        </is>
      </c>
      <c r="C227" s="12" t="n">
        <v>43030</v>
      </c>
      <c r="D227" s="4" t="n">
        <v>262632.6603656031</v>
      </c>
      <c r="E227" s="4" t="n">
        <v>66849</v>
      </c>
      <c r="F227" s="4" t="n">
        <v>999</v>
      </c>
      <c r="G227" t="inlineStr">
        <is>
          <t>2026Q2</t>
        </is>
      </c>
      <c r="H227" s="13" t="n">
        <v>6.414615384615384</v>
      </c>
      <c r="I227" t="n">
        <v>2024</v>
      </c>
    </row>
    <row r="228">
      <c r="A228" t="inlineStr">
        <is>
          <t>33220</t>
        </is>
      </c>
      <c r="B228" t="inlineStr">
        <is>
          <t>Midland, MI</t>
        </is>
      </c>
      <c r="C228" s="12" t="n">
        <v>35687</v>
      </c>
      <c r="D228" s="4" t="n">
        <v>264528.5050204537</v>
      </c>
      <c r="E228" s="4" t="n">
        <v>78046</v>
      </c>
      <c r="F228" s="4" t="n">
        <v>1031</v>
      </c>
      <c r="G228" t="inlineStr">
        <is>
          <t>2026Q2</t>
        </is>
      </c>
      <c r="H228" s="13" t="n">
        <v>6.414615384615384</v>
      </c>
      <c r="I228" t="n">
        <v>2024</v>
      </c>
    </row>
    <row r="229">
      <c r="A229" t="inlineStr">
        <is>
          <t>33260</t>
        </is>
      </c>
      <c r="B229" t="inlineStr">
        <is>
          <t>Midland, TX</t>
        </is>
      </c>
      <c r="C229" s="12" t="n">
        <v>71910</v>
      </c>
      <c r="D229" s="4" t="n">
        <v>349140.4464685073</v>
      </c>
      <c r="E229" s="4" t="n">
        <v>89627</v>
      </c>
      <c r="F229" s="4" t="n">
        <v>1558</v>
      </c>
      <c r="G229" t="inlineStr">
        <is>
          <t>2026Q2</t>
        </is>
      </c>
      <c r="H229" s="13" t="n">
        <v>6.414615384615384</v>
      </c>
      <c r="I229" t="n">
        <v>2024</v>
      </c>
    </row>
    <row r="230">
      <c r="A230" t="inlineStr">
        <is>
          <t>33340</t>
        </is>
      </c>
      <c r="B230" t="inlineStr">
        <is>
          <t>Milwaukee-Waukesha, WI</t>
        </is>
      </c>
      <c r="C230" s="12" t="n">
        <v>663225</v>
      </c>
      <c r="D230" s="4" t="n">
        <v>402870.1386993525</v>
      </c>
      <c r="E230" s="4" t="n">
        <v>77919</v>
      </c>
      <c r="F230" s="4" t="n">
        <v>1177</v>
      </c>
      <c r="G230" t="inlineStr">
        <is>
          <t>2026Q2</t>
        </is>
      </c>
      <c r="H230" s="13" t="n">
        <v>6.414615384615384</v>
      </c>
      <c r="I230" t="n">
        <v>2024</v>
      </c>
    </row>
    <row r="231">
      <c r="A231" t="inlineStr">
        <is>
          <t>33460</t>
        </is>
      </c>
      <c r="B231" t="inlineStr">
        <is>
          <t>Minneapolis-St. Paul-Bloomington, MN-WI</t>
        </is>
      </c>
      <c r="C231" s="12" t="n">
        <v>1508526</v>
      </c>
      <c r="D231" s="4" t="n">
        <v>416297.8300018904</v>
      </c>
      <c r="E231" s="4" t="n">
        <v>97928</v>
      </c>
      <c r="F231" s="4" t="n">
        <v>1444</v>
      </c>
      <c r="G231" t="inlineStr">
        <is>
          <t>2026Q2</t>
        </is>
      </c>
      <c r="H231" s="13" t="n">
        <v>6.414615384615384</v>
      </c>
      <c r="I231" t="n">
        <v>2024</v>
      </c>
    </row>
    <row r="232">
      <c r="A232" t="inlineStr">
        <is>
          <t>33500</t>
        </is>
      </c>
      <c r="B232" t="inlineStr">
        <is>
          <t>Minot, ND</t>
        </is>
      </c>
      <c r="C232" s="12" t="n">
        <v>33181</v>
      </c>
      <c r="D232" s="4" t="n">
        <v>298891.1632221637</v>
      </c>
      <c r="E232" s="4" t="n">
        <v>70782</v>
      </c>
      <c r="F232" s="4" t="n">
        <v>1091</v>
      </c>
      <c r="G232" t="inlineStr">
        <is>
          <t>2026Q2</t>
        </is>
      </c>
      <c r="H232" s="13" t="n">
        <v>6.414615384615384</v>
      </c>
      <c r="I232" t="n">
        <v>2024</v>
      </c>
    </row>
    <row r="233">
      <c r="A233" t="inlineStr">
        <is>
          <t>33540</t>
        </is>
      </c>
      <c r="B233" t="inlineStr">
        <is>
          <t>Missoula, MT</t>
        </is>
      </c>
      <c r="C233" s="12" t="n">
        <v>56562</v>
      </c>
      <c r="D233" s="4" t="n">
        <v>573952.2452197568</v>
      </c>
      <c r="E233" s="4" t="n">
        <v>75290</v>
      </c>
      <c r="F233" s="4" t="n">
        <v>1332</v>
      </c>
      <c r="G233" t="inlineStr">
        <is>
          <t>2026Q2</t>
        </is>
      </c>
      <c r="H233" s="13" t="n">
        <v>6.414615384615384</v>
      </c>
      <c r="I233" t="n">
        <v>2024</v>
      </c>
    </row>
    <row r="234">
      <c r="A234" t="inlineStr">
        <is>
          <t>33660</t>
        </is>
      </c>
      <c r="B234" t="inlineStr">
        <is>
          <t>Mobile, AL</t>
        </is>
      </c>
      <c r="C234" s="12" t="n">
        <v>161526</v>
      </c>
      <c r="D234" s="4" t="n">
        <v>229761.1515343246</v>
      </c>
      <c r="E234" s="4" t="n">
        <v>60379</v>
      </c>
      <c r="F234" s="4" t="n">
        <v>1106</v>
      </c>
      <c r="G234" t="inlineStr">
        <is>
          <t>2026Q2</t>
        </is>
      </c>
      <c r="H234" s="13" t="n">
        <v>6.414615384615384</v>
      </c>
      <c r="I234" t="n">
        <v>2024</v>
      </c>
    </row>
    <row r="235">
      <c r="A235" t="inlineStr">
        <is>
          <t>33700</t>
        </is>
      </c>
      <c r="B235" t="inlineStr">
        <is>
          <t>Modesto, CA</t>
        </is>
      </c>
      <c r="C235" s="12" t="n">
        <v>181365</v>
      </c>
      <c r="D235" s="4" t="n">
        <v>511132.3895551844</v>
      </c>
      <c r="E235" s="4" t="n">
        <v>78673</v>
      </c>
      <c r="F235" s="4" t="n">
        <v>1753</v>
      </c>
      <c r="G235" t="inlineStr">
        <is>
          <t>2026Q2</t>
        </is>
      </c>
      <c r="H235" s="13" t="n">
        <v>6.414615384615384</v>
      </c>
      <c r="I235" t="n">
        <v>2024</v>
      </c>
    </row>
    <row r="236">
      <c r="A236" t="inlineStr">
        <is>
          <t>33740</t>
        </is>
      </c>
      <c r="B236" t="inlineStr">
        <is>
          <t>Monroe, LA</t>
        </is>
      </c>
      <c r="C236" s="12" t="n">
        <v>87264</v>
      </c>
      <c r="D236" s="4" t="n">
        <v>169215.9612369959</v>
      </c>
      <c r="E236" s="4" t="n">
        <v>56468</v>
      </c>
      <c r="F236" s="4" t="n">
        <v>928</v>
      </c>
      <c r="G236" t="inlineStr">
        <is>
          <t>2026Q2</t>
        </is>
      </c>
      <c r="H236" s="13" t="n">
        <v>6.414615384615384</v>
      </c>
      <c r="I236" t="n">
        <v>2024</v>
      </c>
    </row>
    <row r="237">
      <c r="A237" t="inlineStr">
        <is>
          <t>33780</t>
        </is>
      </c>
      <c r="B237" t="inlineStr">
        <is>
          <t>Monroe, MI</t>
        </is>
      </c>
      <c r="C237" s="12" t="n">
        <v>63369</v>
      </c>
      <c r="D237" s="4" t="n">
        <v>271614.5403685045</v>
      </c>
      <c r="E237" s="4" t="n">
        <v>75766</v>
      </c>
      <c r="F237" s="4" t="n">
        <v>1002</v>
      </c>
      <c r="G237" t="inlineStr">
        <is>
          <t>2026Q2</t>
        </is>
      </c>
      <c r="H237" s="13" t="n">
        <v>6.414615384615384</v>
      </c>
      <c r="I237" t="n">
        <v>2024</v>
      </c>
    </row>
    <row r="238">
      <c r="A238" t="inlineStr">
        <is>
          <t>33860</t>
        </is>
      </c>
      <c r="B238" t="inlineStr">
        <is>
          <t>Montgomery, AL</t>
        </is>
      </c>
      <c r="C238" s="12" t="n">
        <v>156295</v>
      </c>
      <c r="D238" s="4" t="n">
        <v>233458.2514157047</v>
      </c>
      <c r="E238" s="4" t="n">
        <v>66706</v>
      </c>
      <c r="F238" s="4" t="n">
        <v>1141</v>
      </c>
      <c r="G238" t="inlineStr">
        <is>
          <t>2026Q2</t>
        </is>
      </c>
      <c r="H238" s="13" t="n">
        <v>6.414615384615384</v>
      </c>
      <c r="I238" t="n">
        <v>2024</v>
      </c>
    </row>
    <row r="239">
      <c r="A239" t="inlineStr">
        <is>
          <t>34060</t>
        </is>
      </c>
      <c r="B239" t="inlineStr">
        <is>
          <t>Morgantown, WV</t>
        </is>
      </c>
      <c r="C239" s="12" t="n">
        <v>58174</v>
      </c>
      <c r="D239" s="4" t="n">
        <v>280543.6938123432</v>
      </c>
      <c r="E239" s="4" t="n">
        <v>67242</v>
      </c>
      <c r="F239" s="4" t="n">
        <v>973</v>
      </c>
      <c r="G239" t="inlineStr">
        <is>
          <t>2026Q2</t>
        </is>
      </c>
      <c r="H239" s="13" t="n">
        <v>6.414615384615384</v>
      </c>
      <c r="I239" t="n">
        <v>2024</v>
      </c>
    </row>
    <row r="240">
      <c r="A240" t="inlineStr">
        <is>
          <t>34100</t>
        </is>
      </c>
      <c r="B240" t="inlineStr">
        <is>
          <t>Morristown, TN</t>
        </is>
      </c>
      <c r="C240" s="12" t="n">
        <v>50463</v>
      </c>
      <c r="D240" s="4" t="n">
        <v>281421.5349729214</v>
      </c>
      <c r="E240" s="4" t="n">
        <v>62456</v>
      </c>
      <c r="F240" s="4" t="n">
        <v>876</v>
      </c>
      <c r="G240" t="inlineStr">
        <is>
          <t>2026Q2</t>
        </is>
      </c>
      <c r="H240" s="13" t="n">
        <v>6.414615384615384</v>
      </c>
      <c r="I240" t="n">
        <v>2024</v>
      </c>
    </row>
    <row r="241">
      <c r="A241" t="inlineStr">
        <is>
          <t>34580</t>
        </is>
      </c>
      <c r="B241" t="inlineStr">
        <is>
          <t>Mount Vernon-Anacortes, WA</t>
        </is>
      </c>
      <c r="C241" s="12" t="n">
        <v>53859</v>
      </c>
      <c r="D241" s="4" t="n">
        <v>605947.1637041415</v>
      </c>
      <c r="E241" s="4" t="n">
        <v>91204</v>
      </c>
      <c r="F241" s="4" t="n">
        <v>1649</v>
      </c>
      <c r="G241" t="inlineStr">
        <is>
          <t>2026Q2</t>
        </is>
      </c>
      <c r="H241" s="13" t="n">
        <v>6.414615384615384</v>
      </c>
      <c r="I241" t="n">
        <v>2024</v>
      </c>
    </row>
    <row r="242">
      <c r="A242" t="inlineStr">
        <is>
          <t>34620</t>
        </is>
      </c>
      <c r="B242" t="inlineStr">
        <is>
          <t>Muncie, IN</t>
        </is>
      </c>
      <c r="C242" s="12" t="n">
        <v>45867</v>
      </c>
      <c r="D242" s="4" t="n">
        <v>195825.5847136919</v>
      </c>
      <c r="E242" s="4" t="n">
        <v>54232</v>
      </c>
      <c r="F242" s="4" t="n">
        <v>944</v>
      </c>
      <c r="G242" t="inlineStr">
        <is>
          <t>2026Q2</t>
        </is>
      </c>
      <c r="H242" s="13" t="n">
        <v>6.414615384615384</v>
      </c>
      <c r="I242" t="n">
        <v>2024</v>
      </c>
    </row>
    <row r="243">
      <c r="A243" t="inlineStr">
        <is>
          <t>34740</t>
        </is>
      </c>
      <c r="B243" t="inlineStr">
        <is>
          <t>Muskegon-Norton Shores, MI</t>
        </is>
      </c>
      <c r="C243" s="12" t="n">
        <v>70148</v>
      </c>
      <c r="D243" s="4" t="n">
        <v>249692.237510117</v>
      </c>
      <c r="E243" s="4" t="n">
        <v>60829</v>
      </c>
      <c r="F243" s="4" t="n">
        <v>977</v>
      </c>
      <c r="G243" t="inlineStr">
        <is>
          <t>2026Q2</t>
        </is>
      </c>
      <c r="H243" s="13" t="n">
        <v>6.414615384615384</v>
      </c>
      <c r="I243" t="n">
        <v>2024</v>
      </c>
    </row>
    <row r="244">
      <c r="A244" t="inlineStr">
        <is>
          <t>34820</t>
        </is>
      </c>
      <c r="B244" t="inlineStr">
        <is>
          <t>Myrtle Beach-Conway-North Myrtle Beach, SC</t>
        </is>
      </c>
      <c r="C244" s="12" t="n">
        <v>176383</v>
      </c>
      <c r="D244" s="4" t="n">
        <v>379941.5408265831</v>
      </c>
      <c r="E244" s="4" t="n">
        <v>68534</v>
      </c>
      <c r="F244" s="4" t="n">
        <v>1433</v>
      </c>
      <c r="G244" t="inlineStr">
        <is>
          <t>2026Q2</t>
        </is>
      </c>
      <c r="H244" s="13" t="n">
        <v>6.414615384615384</v>
      </c>
      <c r="I244" t="n">
        <v>2024</v>
      </c>
    </row>
    <row r="245">
      <c r="A245" t="inlineStr">
        <is>
          <t>34900</t>
        </is>
      </c>
      <c r="B245" t="inlineStr">
        <is>
          <t>Napa, CA</t>
        </is>
      </c>
      <c r="C245" s="12" t="n">
        <v>49477</v>
      </c>
      <c r="D245" s="4" t="n">
        <v>886437.9362558628</v>
      </c>
      <c r="E245" s="4" t="n">
        <v>122754</v>
      </c>
      <c r="F245" s="4" t="n">
        <v>2642</v>
      </c>
      <c r="G245" t="inlineStr">
        <is>
          <t>2026Q2</t>
        </is>
      </c>
      <c r="H245" s="13" t="n">
        <v>6.414615384615384</v>
      </c>
      <c r="I245" t="n">
        <v>2024</v>
      </c>
    </row>
    <row r="246">
      <c r="A246" t="inlineStr">
        <is>
          <t>34940</t>
        </is>
      </c>
      <c r="B246" t="inlineStr">
        <is>
          <t>Naples-Marco Island, FL</t>
        </is>
      </c>
      <c r="C246" s="12" t="n">
        <v>170126</v>
      </c>
      <c r="D246" s="4" t="n">
        <v>671918.8720620017</v>
      </c>
      <c r="E246" s="4" t="n">
        <v>95862</v>
      </c>
      <c r="F246" s="4" t="n">
        <v>2032</v>
      </c>
      <c r="G246" t="inlineStr">
        <is>
          <t>2026Q2</t>
        </is>
      </c>
      <c r="H246" s="13" t="n">
        <v>6.414615384615384</v>
      </c>
      <c r="I246" t="n">
        <v>2024</v>
      </c>
    </row>
    <row r="247">
      <c r="A247" t="inlineStr">
        <is>
          <t>34980</t>
        </is>
      </c>
      <c r="B247" t="inlineStr">
        <is>
          <t>Nashville-Davidson--Murfreesboro--Franklin, TN</t>
        </is>
      </c>
      <c r="C247" s="12" t="n">
        <v>869185</v>
      </c>
      <c r="D247" s="4" t="n">
        <v>494871.5179912727</v>
      </c>
      <c r="E247" s="4" t="n">
        <v>88800</v>
      </c>
      <c r="F247" s="4" t="n">
        <v>1627</v>
      </c>
      <c r="G247" t="inlineStr">
        <is>
          <t>2026Q2</t>
        </is>
      </c>
      <c r="H247" s="13" t="n">
        <v>6.414615384615384</v>
      </c>
      <c r="I247" t="n">
        <v>2024</v>
      </c>
    </row>
    <row r="248">
      <c r="A248" t="inlineStr">
        <is>
          <t>35300</t>
        </is>
      </c>
      <c r="B248" t="inlineStr">
        <is>
          <t>New Haven, CT</t>
        </is>
      </c>
      <c r="C248" s="12" t="n">
        <v>234206</v>
      </c>
      <c r="D248" s="4" t="n">
        <v>456568.8303624557</v>
      </c>
      <c r="E248" s="4" t="n">
        <v>89645</v>
      </c>
      <c r="F248" s="4" t="n">
        <v>1600</v>
      </c>
      <c r="G248" t="inlineStr">
        <is>
          <t>2026Q2</t>
        </is>
      </c>
      <c r="H248" s="13" t="n">
        <v>6.414615384615384</v>
      </c>
      <c r="I248" t="n">
        <v>2024</v>
      </c>
    </row>
    <row r="249">
      <c r="A249" t="inlineStr">
        <is>
          <t>35380</t>
        </is>
      </c>
      <c r="B249" t="inlineStr">
        <is>
          <t>New Orleans-Metairie, LA</t>
        </is>
      </c>
      <c r="C249" s="12" t="n">
        <v>403456</v>
      </c>
      <c r="D249" s="4" t="n">
        <v>271818.4411056044</v>
      </c>
      <c r="E249" s="4" t="n">
        <v>62373</v>
      </c>
      <c r="F249" s="4" t="n">
        <v>1262</v>
      </c>
      <c r="G249" t="inlineStr">
        <is>
          <t>2026Q2</t>
        </is>
      </c>
      <c r="H249" s="13" t="n">
        <v>6.414615384615384</v>
      </c>
      <c r="I249" t="n">
        <v>2024</v>
      </c>
    </row>
    <row r="250">
      <c r="A250" t="inlineStr">
        <is>
          <t>35620</t>
        </is>
      </c>
      <c r="B250" t="inlineStr">
        <is>
          <t>New York-Newark-Jersey City, NY-NJ</t>
        </is>
      </c>
      <c r="C250" s="12" t="n">
        <v>7486828</v>
      </c>
      <c r="D250" s="4" t="n">
        <v>801386.2401729411</v>
      </c>
      <c r="E250" s="4" t="n">
        <v>99852</v>
      </c>
      <c r="F250" s="4" t="n">
        <v>1851</v>
      </c>
      <c r="G250" t="inlineStr">
        <is>
          <t>2026Q2</t>
        </is>
      </c>
      <c r="H250" s="13" t="n">
        <v>6.414615384615384</v>
      </c>
      <c r="I250" t="n">
        <v>2024</v>
      </c>
    </row>
    <row r="251">
      <c r="A251" t="inlineStr">
        <is>
          <t>35660</t>
        </is>
      </c>
      <c r="B251" t="inlineStr">
        <is>
          <t>Niles, MI</t>
        </is>
      </c>
      <c r="C251" s="12" t="n">
        <v>62987</v>
      </c>
      <c r="D251" s="4" t="n">
        <v>276236.9173826186</v>
      </c>
      <c r="E251" s="4" t="n">
        <v>68984</v>
      </c>
      <c r="F251" s="4" t="n">
        <v>910</v>
      </c>
      <c r="G251" t="inlineStr">
        <is>
          <t>2026Q2</t>
        </is>
      </c>
      <c r="H251" s="13" t="n">
        <v>6.414615384615384</v>
      </c>
      <c r="I251" t="n">
        <v>2024</v>
      </c>
    </row>
    <row r="252">
      <c r="A252" t="inlineStr">
        <is>
          <t>35840</t>
        </is>
      </c>
      <c r="B252" t="inlineStr">
        <is>
          <t>North Port-Bradenton-Sarasota, FL</t>
        </is>
      </c>
      <c r="C252" s="12" t="n">
        <v>421244</v>
      </c>
      <c r="D252" s="4" t="n">
        <v>457165.6627031935</v>
      </c>
      <c r="E252" s="4" t="n">
        <v>82106</v>
      </c>
      <c r="F252" s="4" t="n">
        <v>1920</v>
      </c>
      <c r="G252" t="inlineStr">
        <is>
          <t>2026Q2</t>
        </is>
      </c>
      <c r="H252" s="13" t="n">
        <v>6.414615384615384</v>
      </c>
      <c r="I252" t="n">
        <v>2024</v>
      </c>
    </row>
    <row r="253">
      <c r="A253" t="inlineStr">
        <is>
          <t>35980</t>
        </is>
      </c>
      <c r="B253" t="inlineStr">
        <is>
          <t>Norwich-New London-Willimantic, CT</t>
        </is>
      </c>
      <c r="C253" s="12" t="n">
        <v>118558</v>
      </c>
      <c r="D253" s="4" t="n">
        <v>488786.5002655337</v>
      </c>
      <c r="E253" s="4" t="n">
        <v>89431</v>
      </c>
      <c r="F253" s="4" t="n">
        <v>1440</v>
      </c>
      <c r="G253" t="inlineStr">
        <is>
          <t>2026Q2</t>
        </is>
      </c>
      <c r="H253" s="13" t="n">
        <v>6.414615384615384</v>
      </c>
      <c r="I253" t="n">
        <v>2024</v>
      </c>
    </row>
    <row r="254">
      <c r="A254" t="inlineStr">
        <is>
          <t>36100</t>
        </is>
      </c>
      <c r="B254" t="inlineStr">
        <is>
          <t>Ocala, FL</t>
        </is>
      </c>
      <c r="C254" s="12" t="n">
        <v>176194</v>
      </c>
      <c r="D254" s="4" t="n">
        <v>287545.8425739154</v>
      </c>
      <c r="E254" s="4" t="n">
        <v>64410</v>
      </c>
      <c r="F254" s="4" t="n">
        <v>1523</v>
      </c>
      <c r="G254" t="inlineStr">
        <is>
          <t>2026Q2</t>
        </is>
      </c>
      <c r="H254" s="13" t="n">
        <v>6.414615384615384</v>
      </c>
      <c r="I254" t="n">
        <v>2024</v>
      </c>
    </row>
    <row r="255">
      <c r="A255" t="inlineStr">
        <is>
          <t>36220</t>
        </is>
      </c>
      <c r="B255" t="inlineStr">
        <is>
          <t>Odessa, TX</t>
        </is>
      </c>
      <c r="C255" s="12" t="n">
        <v>68318</v>
      </c>
      <c r="D255" s="4" t="n">
        <v>209528.547515424</v>
      </c>
      <c r="E255" s="4" t="n">
        <v>78058</v>
      </c>
      <c r="F255" s="4" t="n">
        <v>1337</v>
      </c>
      <c r="G255" t="inlineStr">
        <is>
          <t>2026Q2</t>
        </is>
      </c>
      <c r="H255" s="13" t="n">
        <v>6.414615384615384</v>
      </c>
      <c r="I255" t="n">
        <v>2024</v>
      </c>
    </row>
    <row r="256">
      <c r="A256" t="inlineStr">
        <is>
          <t>36260</t>
        </is>
      </c>
      <c r="B256" t="inlineStr">
        <is>
          <t>Ogden, UT</t>
        </is>
      </c>
      <c r="C256" s="12" t="n">
        <v>219283</v>
      </c>
      <c r="D256" s="4" t="n">
        <v>529415.5235376137</v>
      </c>
      <c r="E256" s="4" t="n">
        <v>98456</v>
      </c>
      <c r="F256" s="4" t="n">
        <v>1641</v>
      </c>
      <c r="G256" t="inlineStr">
        <is>
          <t>2026Q2</t>
        </is>
      </c>
      <c r="H256" s="13" t="n">
        <v>6.414615384615384</v>
      </c>
      <c r="I256" t="n">
        <v>2024</v>
      </c>
    </row>
    <row r="257">
      <c r="A257" t="inlineStr">
        <is>
          <t>36420</t>
        </is>
      </c>
      <c r="B257" t="inlineStr">
        <is>
          <t>Oklahoma City, OK</t>
        </is>
      </c>
      <c r="C257" s="12" t="n">
        <v>588886</v>
      </c>
      <c r="D257" s="4" t="n">
        <v>261241.1391976909</v>
      </c>
      <c r="E257" s="4" t="n">
        <v>72930</v>
      </c>
      <c r="F257" s="4" t="n">
        <v>1162</v>
      </c>
      <c r="G257" t="inlineStr">
        <is>
          <t>2026Q2</t>
        </is>
      </c>
      <c r="H257" s="13" t="n">
        <v>6.414615384615384</v>
      </c>
      <c r="I257" t="n">
        <v>2024</v>
      </c>
    </row>
    <row r="258">
      <c r="A258" t="inlineStr">
        <is>
          <t>36500</t>
        </is>
      </c>
      <c r="B258" t="inlineStr">
        <is>
          <t>Olympia-Lacey-Tumwater, WA</t>
        </is>
      </c>
      <c r="C258" s="12" t="n">
        <v>122533</v>
      </c>
      <c r="D258" s="4" t="n">
        <v>556103.3982496255</v>
      </c>
      <c r="E258" s="4" t="n">
        <v>98264</v>
      </c>
      <c r="F258" s="4" t="n">
        <v>1829</v>
      </c>
      <c r="G258" t="inlineStr">
        <is>
          <t>2026Q2</t>
        </is>
      </c>
      <c r="H258" s="13" t="n">
        <v>6.414615384615384</v>
      </c>
      <c r="I258" t="n">
        <v>2024</v>
      </c>
    </row>
    <row r="259">
      <c r="A259" t="inlineStr">
        <is>
          <t>36540</t>
        </is>
      </c>
      <c r="B259" t="inlineStr">
        <is>
          <t>Omaha, NE-IA</t>
        </is>
      </c>
      <c r="C259" s="12" t="n">
        <v>400079</v>
      </c>
      <c r="D259" s="4" t="n">
        <v>312044.4241123271</v>
      </c>
      <c r="E259" s="4" t="n">
        <v>84524</v>
      </c>
      <c r="F259" s="4" t="n">
        <v>1230</v>
      </c>
      <c r="G259" t="inlineStr">
        <is>
          <t>2026Q2</t>
        </is>
      </c>
      <c r="H259" s="13" t="n">
        <v>6.414615384615384</v>
      </c>
      <c r="I259" t="n">
        <v>2024</v>
      </c>
    </row>
    <row r="260">
      <c r="A260" t="inlineStr">
        <is>
          <t>36740</t>
        </is>
      </c>
      <c r="B260" t="inlineStr">
        <is>
          <t>Orlando-Kissimmee-Sanford, FL</t>
        </is>
      </c>
      <c r="C260" s="12" t="n">
        <v>1095333</v>
      </c>
      <c r="D260" s="4" t="n">
        <v>437690.8315764816</v>
      </c>
      <c r="E260" s="4" t="n">
        <v>81044</v>
      </c>
      <c r="F260" s="4" t="n">
        <v>1877</v>
      </c>
      <c r="G260" t="inlineStr">
        <is>
          <t>2026Q2</t>
        </is>
      </c>
      <c r="H260" s="13" t="n">
        <v>6.414615384615384</v>
      </c>
      <c r="I260" t="n">
        <v>2024</v>
      </c>
    </row>
    <row r="261">
      <c r="A261" t="inlineStr">
        <is>
          <t>36780</t>
        </is>
      </c>
      <c r="B261" t="inlineStr">
        <is>
          <t>Oshkosh-Neenah, WI</t>
        </is>
      </c>
      <c r="C261" s="12" t="n">
        <v>74123</v>
      </c>
      <c r="D261" s="4" t="n">
        <v>298330.1775936264</v>
      </c>
      <c r="E261" s="4" t="n">
        <v>71146</v>
      </c>
      <c r="F261" s="4" t="n">
        <v>1029</v>
      </c>
      <c r="G261" t="inlineStr">
        <is>
          <t>2026Q2</t>
        </is>
      </c>
      <c r="H261" s="13" t="n">
        <v>6.414615384615384</v>
      </c>
      <c r="I261" t="n">
        <v>2024</v>
      </c>
    </row>
    <row r="262">
      <c r="A262" t="inlineStr">
        <is>
          <t>36980</t>
        </is>
      </c>
      <c r="B262" t="inlineStr">
        <is>
          <t>Owensboro, KY</t>
        </is>
      </c>
      <c r="C262" s="12" t="n">
        <v>47412</v>
      </c>
      <c r="D262" s="4" t="n">
        <v>238605.6473670018</v>
      </c>
      <c r="E262" s="4" t="n">
        <v>67068</v>
      </c>
      <c r="F262" s="4" t="n">
        <v>853</v>
      </c>
      <c r="G262" t="inlineStr">
        <is>
          <t>2026Q2</t>
        </is>
      </c>
      <c r="H262" s="13" t="n">
        <v>6.414615384615384</v>
      </c>
      <c r="I262" t="n">
        <v>2024</v>
      </c>
    </row>
    <row r="263">
      <c r="A263" t="inlineStr">
        <is>
          <t>37100</t>
        </is>
      </c>
      <c r="B263" t="inlineStr">
        <is>
          <t>Oxnard-Thousand Oaks-Ventura, CA</t>
        </is>
      </c>
      <c r="C263" s="12" t="n">
        <v>282950</v>
      </c>
      <c r="D263" s="4" t="n">
        <v>923831.6444090094</v>
      </c>
      <c r="E263" s="4" t="n">
        <v>114238</v>
      </c>
      <c r="F263" s="4" t="n">
        <v>2313</v>
      </c>
      <c r="G263" t="inlineStr">
        <is>
          <t>2026Q2</t>
        </is>
      </c>
      <c r="H263" s="13" t="n">
        <v>6.414615384615384</v>
      </c>
      <c r="I263" t="n">
        <v>2024</v>
      </c>
    </row>
    <row r="264">
      <c r="A264" t="inlineStr">
        <is>
          <t>37140</t>
        </is>
      </c>
      <c r="B264" t="inlineStr">
        <is>
          <t>Paducah, KY-IL</t>
        </is>
      </c>
      <c r="C264" s="12" t="n">
        <v>44062</v>
      </c>
      <c r="D264" s="4" t="n">
        <v>205970.9876887081</v>
      </c>
      <c r="E264" s="4" t="n">
        <v>64271</v>
      </c>
      <c r="F264" s="4" t="n">
        <v>823</v>
      </c>
      <c r="G264" t="inlineStr">
        <is>
          <t>2026Q2</t>
        </is>
      </c>
      <c r="H264" s="13" t="n">
        <v>6.414615384615384</v>
      </c>
      <c r="I264" t="n">
        <v>2024</v>
      </c>
    </row>
    <row r="265">
      <c r="A265" t="inlineStr">
        <is>
          <t>37340</t>
        </is>
      </c>
      <c r="B265" t="inlineStr">
        <is>
          <t>Palm Bay-Melbourne-Titusville, FL</t>
        </is>
      </c>
      <c r="C265" s="12" t="n">
        <v>267461</v>
      </c>
      <c r="D265" s="4" t="n">
        <v>390782.8263815691</v>
      </c>
      <c r="E265" s="4" t="n">
        <v>78196</v>
      </c>
      <c r="F265" s="4" t="n">
        <v>1681</v>
      </c>
      <c r="G265" t="inlineStr">
        <is>
          <t>2026Q2</t>
        </is>
      </c>
      <c r="H265" s="13" t="n">
        <v>6.414615384615384</v>
      </c>
      <c r="I265" t="n">
        <v>2024</v>
      </c>
    </row>
    <row r="266">
      <c r="A266" t="inlineStr">
        <is>
          <t>37460</t>
        </is>
      </c>
      <c r="B266" t="inlineStr">
        <is>
          <t>Panama City-Panama City Beach, FL</t>
        </is>
      </c>
      <c r="C266" s="12" t="n">
        <v>94228</v>
      </c>
      <c r="D266" s="4" t="n">
        <v>342572.1757736657</v>
      </c>
      <c r="E266" s="4" t="n">
        <v>77625</v>
      </c>
      <c r="F266" s="4" t="n">
        <v>1543</v>
      </c>
      <c r="G266" t="inlineStr">
        <is>
          <t>2026Q2</t>
        </is>
      </c>
      <c r="H266" s="13" t="n">
        <v>6.414615384615384</v>
      </c>
      <c r="I266" t="n">
        <v>2024</v>
      </c>
    </row>
    <row r="267">
      <c r="A267" t="inlineStr">
        <is>
          <t>37620</t>
        </is>
      </c>
      <c r="B267" t="inlineStr">
        <is>
          <t>Parkersburg-Vienna, WV</t>
        </is>
      </c>
      <c r="C267" s="12" t="n">
        <v>36983</v>
      </c>
      <c r="D267" s="4" t="n">
        <v>205705.3221288515</v>
      </c>
      <c r="E267" s="4" t="n">
        <v>54861</v>
      </c>
      <c r="F267" s="4" t="n">
        <v>879</v>
      </c>
      <c r="G267" t="inlineStr">
        <is>
          <t>2026Q2</t>
        </is>
      </c>
      <c r="H267" s="13" t="n">
        <v>6.414615384615384</v>
      </c>
      <c r="I267" t="n">
        <v>2024</v>
      </c>
    </row>
    <row r="268">
      <c r="A268" t="inlineStr">
        <is>
          <t>37860</t>
        </is>
      </c>
      <c r="B268" t="inlineStr">
        <is>
          <t>Pensacola-Ferry Pass-Brent, FL</t>
        </is>
      </c>
      <c r="C268" s="12" t="n">
        <v>202898</v>
      </c>
      <c r="D268" s="4" t="n">
        <v>334125.1885557564</v>
      </c>
      <c r="E268" s="4" t="n">
        <v>74248</v>
      </c>
      <c r="F268" s="4" t="n">
        <v>1481</v>
      </c>
      <c r="G268" t="inlineStr">
        <is>
          <t>2026Q2</t>
        </is>
      </c>
      <c r="H268" s="13" t="n">
        <v>6.414615384615384</v>
      </c>
      <c r="I268" t="n">
        <v>2024</v>
      </c>
    </row>
    <row r="269">
      <c r="A269" t="inlineStr">
        <is>
          <t>37900</t>
        </is>
      </c>
      <c r="B269" t="inlineStr">
        <is>
          <t>Peoria, IL</t>
        </is>
      </c>
      <c r="C269" s="12" t="n">
        <v>155721</v>
      </c>
      <c r="D269" s="4" t="n">
        <v>211116.4949861189</v>
      </c>
      <c r="E269" s="4" t="n">
        <v>74352</v>
      </c>
      <c r="F269" s="4" t="n">
        <v>1003</v>
      </c>
      <c r="G269" t="inlineStr">
        <is>
          <t>2026Q2</t>
        </is>
      </c>
      <c r="H269" s="13" t="n">
        <v>6.414615384615384</v>
      </c>
      <c r="I269" t="n">
        <v>2024</v>
      </c>
    </row>
    <row r="270">
      <c r="A270" t="inlineStr">
        <is>
          <t>37980</t>
        </is>
      </c>
      <c r="B270" t="inlineStr">
        <is>
          <t>Philadelphia-Camden-Wilmington, PA-NJ-DE-MD</t>
        </is>
      </c>
      <c r="C270" s="12" t="n">
        <v>2505818</v>
      </c>
      <c r="D270" s="4" t="n">
        <v>443392.0300469044</v>
      </c>
      <c r="E270" s="4" t="n">
        <v>90850</v>
      </c>
      <c r="F270" s="4" t="n">
        <v>1567</v>
      </c>
      <c r="G270" t="inlineStr">
        <is>
          <t>2026Q2</t>
        </is>
      </c>
      <c r="H270" s="13" t="n">
        <v>6.414615384615384</v>
      </c>
      <c r="I270" t="n">
        <v>2024</v>
      </c>
    </row>
    <row r="271">
      <c r="A271" t="inlineStr">
        <is>
          <t>38060</t>
        </is>
      </c>
      <c r="B271" t="inlineStr">
        <is>
          <t>Phoenix-Mesa-Chandler, AZ</t>
        </is>
      </c>
      <c r="C271" s="12" t="n">
        <v>1967378</v>
      </c>
      <c r="D271" s="4" t="n">
        <v>495294.7118592532</v>
      </c>
      <c r="E271" s="4" t="n">
        <v>90133</v>
      </c>
      <c r="F271" s="4" t="n">
        <v>1819</v>
      </c>
      <c r="G271" t="inlineStr">
        <is>
          <t>2026Q2</t>
        </is>
      </c>
      <c r="H271" s="13" t="n">
        <v>6.414615384615384</v>
      </c>
      <c r="I271" t="n">
        <v>2024</v>
      </c>
    </row>
    <row r="272">
      <c r="A272" t="inlineStr">
        <is>
          <t>38240</t>
        </is>
      </c>
      <c r="B272" t="inlineStr">
        <is>
          <t>Pinehurst-Southern Pines, NC</t>
        </is>
      </c>
      <c r="C272" s="12" t="n">
        <v>47285</v>
      </c>
      <c r="D272" s="4" t="n">
        <v>418683.6632993318</v>
      </c>
      <c r="E272" s="4" t="n">
        <v>85002</v>
      </c>
      <c r="F272" s="4" t="n">
        <v>1346</v>
      </c>
      <c r="G272" t="inlineStr">
        <is>
          <t>2026Q2</t>
        </is>
      </c>
      <c r="H272" s="13" t="n">
        <v>6.414615384615384</v>
      </c>
      <c r="I272" t="n">
        <v>2024</v>
      </c>
    </row>
    <row r="273">
      <c r="A273" t="inlineStr">
        <is>
          <t>38300</t>
        </is>
      </c>
      <c r="B273" t="inlineStr">
        <is>
          <t>Pittsburgh, PA</t>
        </is>
      </c>
      <c r="C273" s="12" t="n">
        <v>1071618</v>
      </c>
      <c r="D273" s="4" t="n">
        <v>261676.6170205274</v>
      </c>
      <c r="E273" s="4" t="n">
        <v>77214</v>
      </c>
      <c r="F273" s="4" t="n">
        <v>1083</v>
      </c>
      <c r="G273" t="inlineStr">
        <is>
          <t>2026Q2</t>
        </is>
      </c>
      <c r="H273" s="13" t="n">
        <v>6.414615384615384</v>
      </c>
      <c r="I273" t="n">
        <v>2024</v>
      </c>
    </row>
    <row r="274">
      <c r="A274" t="inlineStr">
        <is>
          <t>38340</t>
        </is>
      </c>
      <c r="B274" t="inlineStr">
        <is>
          <t>Pittsfield, MA</t>
        </is>
      </c>
      <c r="C274" s="12" t="n">
        <v>59606</v>
      </c>
      <c r="D274" s="4" t="n">
        <v>420573.9906502338</v>
      </c>
      <c r="E274" s="4" t="n">
        <v>77682</v>
      </c>
      <c r="F274" s="4" t="n">
        <v>1102</v>
      </c>
      <c r="G274" t="inlineStr">
        <is>
          <t>2026Q2</t>
        </is>
      </c>
      <c r="H274" s="13" t="n">
        <v>6.414615384615384</v>
      </c>
      <c r="I274" t="n">
        <v>2024</v>
      </c>
    </row>
    <row r="275">
      <c r="A275" t="inlineStr">
        <is>
          <t>38540</t>
        </is>
      </c>
      <c r="B275" t="inlineStr">
        <is>
          <t>Pocatello, ID</t>
        </is>
      </c>
      <c r="C275" s="12" t="n">
        <v>33091</v>
      </c>
      <c r="D275" s="4" t="n">
        <v>323927.7033289354</v>
      </c>
      <c r="E275" s="4" t="n">
        <v>69612</v>
      </c>
      <c r="F275" s="4" t="n">
        <v>1076</v>
      </c>
      <c r="G275" t="inlineStr">
        <is>
          <t>2026Q2</t>
        </is>
      </c>
      <c r="H275" s="13" t="n">
        <v>6.414615384615384</v>
      </c>
      <c r="I275" t="n">
        <v>2024</v>
      </c>
    </row>
    <row r="276">
      <c r="A276" t="inlineStr">
        <is>
          <t>38940</t>
        </is>
      </c>
      <c r="B276" t="inlineStr">
        <is>
          <t>Port St. Lucie, FL</t>
        </is>
      </c>
      <c r="C276" s="12" t="n">
        <v>219468</v>
      </c>
      <c r="D276" s="4" t="n">
        <v>430189.9242153562</v>
      </c>
      <c r="E276" s="4" t="n">
        <v>80659</v>
      </c>
      <c r="F276" s="4" t="n">
        <v>1722</v>
      </c>
      <c r="G276" t="inlineStr">
        <is>
          <t>2026Q2</t>
        </is>
      </c>
      <c r="H276" s="13" t="n">
        <v>6.414615384615384</v>
      </c>
      <c r="I276" t="n">
        <v>2024</v>
      </c>
    </row>
    <row r="277">
      <c r="A277" t="inlineStr">
        <is>
          <t>38860</t>
        </is>
      </c>
      <c r="B277" t="inlineStr">
        <is>
          <t>Portland-South Portland, ME</t>
        </is>
      </c>
      <c r="C277" s="12" t="n">
        <v>248586</v>
      </c>
      <c r="D277" s="4" t="n">
        <v>537377.8117687763</v>
      </c>
      <c r="E277" s="4" t="n">
        <v>93062</v>
      </c>
      <c r="F277" s="4" t="n">
        <v>1590</v>
      </c>
      <c r="G277" t="inlineStr">
        <is>
          <t>2026Q2</t>
        </is>
      </c>
      <c r="H277" s="13" t="n">
        <v>6.414615384615384</v>
      </c>
      <c r="I277" t="n">
        <v>2024</v>
      </c>
    </row>
    <row r="278">
      <c r="A278" t="inlineStr">
        <is>
          <t>38900</t>
        </is>
      </c>
      <c r="B278" t="inlineStr">
        <is>
          <t>Portland-Vancouver-Hillsboro, OR-WA</t>
        </is>
      </c>
      <c r="C278" s="12" t="n">
        <v>1026663</v>
      </c>
      <c r="D278" s="4" t="n">
        <v>583426.316160406</v>
      </c>
      <c r="E278" s="4" t="n">
        <v>98994</v>
      </c>
      <c r="F278" s="4" t="n">
        <v>1767</v>
      </c>
      <c r="G278" t="inlineStr">
        <is>
          <t>2026Q2</t>
        </is>
      </c>
      <c r="H278" s="13" t="n">
        <v>6.414615384615384</v>
      </c>
      <c r="I278" t="n">
        <v>2024</v>
      </c>
    </row>
    <row r="279">
      <c r="A279" t="inlineStr">
        <is>
          <t>39150</t>
        </is>
      </c>
      <c r="B279" t="inlineStr">
        <is>
          <t>Prescott Valley-Prescott, AZ</t>
        </is>
      </c>
      <c r="C279" s="12" t="n">
        <v>114986</v>
      </c>
      <c r="D279" s="4" t="n">
        <v>482078.7731980393</v>
      </c>
      <c r="E279" s="4" t="n">
        <v>74788</v>
      </c>
      <c r="F279" s="4" t="n">
        <v>1542</v>
      </c>
      <c r="G279" t="inlineStr">
        <is>
          <t>2026Q2</t>
        </is>
      </c>
      <c r="H279" s="13" t="n">
        <v>6.414615384615384</v>
      </c>
      <c r="I279" t="n">
        <v>2024</v>
      </c>
    </row>
    <row r="280">
      <c r="A280" t="inlineStr">
        <is>
          <t>39300</t>
        </is>
      </c>
      <c r="B280" t="inlineStr">
        <is>
          <t>Providence-Warwick, RI-MA</t>
        </is>
      </c>
      <c r="C280" s="12" t="n">
        <v>683183</v>
      </c>
      <c r="D280" s="4" t="n">
        <v>535499.9581464872</v>
      </c>
      <c r="E280" s="4" t="n">
        <v>82870</v>
      </c>
      <c r="F280" s="4" t="n">
        <v>1396</v>
      </c>
      <c r="G280" t="inlineStr">
        <is>
          <t>2026Q2</t>
        </is>
      </c>
      <c r="H280" s="13" t="n">
        <v>6.414615384615384</v>
      </c>
      <c r="I280" t="n">
        <v>2024</v>
      </c>
    </row>
    <row r="281">
      <c r="A281" t="inlineStr">
        <is>
          <t>39340</t>
        </is>
      </c>
      <c r="B281" t="inlineStr">
        <is>
          <t>Provo-Orem-Lehi, UT</t>
        </is>
      </c>
      <c r="C281" s="12" t="n">
        <v>222541</v>
      </c>
      <c r="D281" s="4" t="n">
        <v>619646.4499156444</v>
      </c>
      <c r="E281" s="4" t="n">
        <v>101014</v>
      </c>
      <c r="F281" s="4" t="n">
        <v>1611</v>
      </c>
      <c r="G281" t="inlineStr">
        <is>
          <t>2026Q2</t>
        </is>
      </c>
      <c r="H281" s="13" t="n">
        <v>6.414615384615384</v>
      </c>
      <c r="I281" t="n">
        <v>2024</v>
      </c>
    </row>
    <row r="282">
      <c r="A282" t="inlineStr">
        <is>
          <t>39380</t>
        </is>
      </c>
      <c r="B282" t="inlineStr">
        <is>
          <t>Pueblo, CO</t>
        </is>
      </c>
      <c r="C282" s="12" t="n">
        <v>70476</v>
      </c>
      <c r="D282" s="4" t="n">
        <v>292578.188730307</v>
      </c>
      <c r="E282" s="4" t="n">
        <v>62128</v>
      </c>
      <c r="F282" s="4" t="n">
        <v>1128</v>
      </c>
      <c r="G282" t="inlineStr">
        <is>
          <t>2026Q2</t>
        </is>
      </c>
      <c r="H282" s="13" t="n">
        <v>6.414615384615384</v>
      </c>
      <c r="I282" t="n">
        <v>2024</v>
      </c>
    </row>
    <row r="283">
      <c r="A283" t="inlineStr">
        <is>
          <t>39460</t>
        </is>
      </c>
      <c r="B283" t="inlineStr">
        <is>
          <t>Punta Gorda, FL</t>
        </is>
      </c>
      <c r="C283" s="12" t="n">
        <v>93137</v>
      </c>
      <c r="D283" s="4" t="n">
        <v>345543.2160161971</v>
      </c>
      <c r="E283" s="4" t="n">
        <v>72868</v>
      </c>
      <c r="F283" s="4" t="n">
        <v>1843</v>
      </c>
      <c r="G283" t="inlineStr">
        <is>
          <t>2026Q2</t>
        </is>
      </c>
      <c r="H283" s="13" t="n">
        <v>6.414615384615384</v>
      </c>
      <c r="I283" t="n">
        <v>2024</v>
      </c>
    </row>
    <row r="284">
      <c r="A284" t="inlineStr">
        <is>
          <t>39540</t>
        </is>
      </c>
      <c r="B284" t="inlineStr">
        <is>
          <t>Racine-Mount Pleasant, WI</t>
        </is>
      </c>
      <c r="C284" s="12" t="n">
        <v>83022</v>
      </c>
      <c r="D284" s="4" t="n">
        <v>359780.5995004163</v>
      </c>
      <c r="E284" s="4" t="n">
        <v>77830</v>
      </c>
      <c r="F284" s="4" t="n">
        <v>1202</v>
      </c>
      <c r="G284" t="inlineStr">
        <is>
          <t>2026Q2</t>
        </is>
      </c>
      <c r="H284" s="13" t="n">
        <v>6.414615384615384</v>
      </c>
      <c r="I284" t="n">
        <v>2024</v>
      </c>
    </row>
    <row r="285">
      <c r="A285" t="inlineStr">
        <is>
          <t>39580</t>
        </is>
      </c>
      <c r="B285" t="inlineStr">
        <is>
          <t>Raleigh-Cary, NC</t>
        </is>
      </c>
      <c r="C285" s="12" t="n">
        <v>623704</v>
      </c>
      <c r="D285" s="4" t="n">
        <v>486791.1379330354</v>
      </c>
      <c r="E285" s="4" t="n">
        <v>102144</v>
      </c>
      <c r="F285" s="4" t="n">
        <v>1674</v>
      </c>
      <c r="G285" t="inlineStr">
        <is>
          <t>2026Q2</t>
        </is>
      </c>
      <c r="H285" s="13" t="n">
        <v>6.414615384615384</v>
      </c>
      <c r="I285" t="n">
        <v>2024</v>
      </c>
    </row>
    <row r="286">
      <c r="A286" t="inlineStr">
        <is>
          <t>39660</t>
        </is>
      </c>
      <c r="B286" t="inlineStr">
        <is>
          <t>Rapid City, SD</t>
        </is>
      </c>
      <c r="C286" s="12" t="n">
        <v>63791</v>
      </c>
      <c r="D286" s="4" t="n">
        <v>355658.7185666864</v>
      </c>
      <c r="E286" s="4" t="n">
        <v>78056</v>
      </c>
      <c r="F286" s="4" t="n">
        <v>1168</v>
      </c>
      <c r="G286" t="inlineStr">
        <is>
          <t>2026Q2</t>
        </is>
      </c>
      <c r="H286" s="13" t="n">
        <v>6.414615384615384</v>
      </c>
      <c r="I286" t="n">
        <v>2024</v>
      </c>
    </row>
    <row r="287">
      <c r="A287" t="inlineStr">
        <is>
          <t>39740</t>
        </is>
      </c>
      <c r="B287" t="inlineStr">
        <is>
          <t>Reading, PA</t>
        </is>
      </c>
      <c r="C287" s="12" t="n">
        <v>165017</v>
      </c>
      <c r="D287" s="4" t="n">
        <v>340766.6039302519</v>
      </c>
      <c r="E287" s="4" t="n">
        <v>78074</v>
      </c>
      <c r="F287" s="4" t="n">
        <v>1195</v>
      </c>
      <c r="G287" t="inlineStr">
        <is>
          <t>2026Q2</t>
        </is>
      </c>
      <c r="H287" s="13" t="n">
        <v>6.414615384615384</v>
      </c>
      <c r="I287" t="n">
        <v>2024</v>
      </c>
    </row>
    <row r="288">
      <c r="A288" t="inlineStr">
        <is>
          <t>39820</t>
        </is>
      </c>
      <c r="B288" t="inlineStr">
        <is>
          <t>Redding, CA</t>
        </is>
      </c>
      <c r="C288" s="12" t="n">
        <v>72380</v>
      </c>
      <c r="D288" s="4" t="n">
        <v>398302.2171009111</v>
      </c>
      <c r="E288" s="4" t="n">
        <v>71140</v>
      </c>
      <c r="F288" s="4" t="n">
        <v>1420</v>
      </c>
      <c r="G288" t="inlineStr">
        <is>
          <t>2026Q2</t>
        </is>
      </c>
      <c r="H288" s="13" t="n">
        <v>6.414615384615384</v>
      </c>
      <c r="I288" t="n">
        <v>2024</v>
      </c>
    </row>
    <row r="289">
      <c r="A289" t="inlineStr">
        <is>
          <t>39900</t>
        </is>
      </c>
      <c r="B289" t="inlineStr">
        <is>
          <t>Reno, NV</t>
        </is>
      </c>
      <c r="C289" s="12" t="n">
        <v>234814</v>
      </c>
      <c r="D289" s="4" t="n">
        <v>607621.6236955187</v>
      </c>
      <c r="E289" s="4" t="n">
        <v>89159</v>
      </c>
      <c r="F289" s="4" t="n">
        <v>1680</v>
      </c>
      <c r="G289" t="inlineStr">
        <is>
          <t>2026Q2</t>
        </is>
      </c>
      <c r="H289" s="13" t="n">
        <v>6.414615384615384</v>
      </c>
      <c r="I289" t="n">
        <v>2024</v>
      </c>
    </row>
    <row r="290">
      <c r="A290" t="inlineStr">
        <is>
          <t>40060</t>
        </is>
      </c>
      <c r="B290" t="inlineStr">
        <is>
          <t>Richmond, VA</t>
        </is>
      </c>
      <c r="C290" s="12" t="n">
        <v>554412</v>
      </c>
      <c r="D290" s="4" t="n">
        <v>430992.5098300424</v>
      </c>
      <c r="E290" s="4" t="n">
        <v>83460</v>
      </c>
      <c r="F290" s="4" t="n">
        <v>1546</v>
      </c>
      <c r="G290" t="inlineStr">
        <is>
          <t>2026Q2</t>
        </is>
      </c>
      <c r="H290" s="13" t="n">
        <v>6.414615384615384</v>
      </c>
      <c r="I290" t="n">
        <v>2024</v>
      </c>
    </row>
    <row r="291">
      <c r="A291" t="inlineStr">
        <is>
          <t>40140</t>
        </is>
      </c>
      <c r="B291" t="inlineStr">
        <is>
          <t>Riverside-San Bernardino-Ontario, CA</t>
        </is>
      </c>
      <c r="C291" s="12" t="n">
        <v>1484661</v>
      </c>
      <c r="D291" s="4" t="n">
        <v>621545.1990593941</v>
      </c>
      <c r="E291" s="4" t="n">
        <v>91013</v>
      </c>
      <c r="F291" s="4" t="n">
        <v>2006</v>
      </c>
      <c r="G291" t="inlineStr">
        <is>
          <t>2026Q2</t>
        </is>
      </c>
      <c r="H291" s="13" t="n">
        <v>6.414615384615384</v>
      </c>
      <c r="I291" t="n">
        <v>2024</v>
      </c>
    </row>
    <row r="292">
      <c r="A292" t="inlineStr">
        <is>
          <t>40220</t>
        </is>
      </c>
      <c r="B292" t="inlineStr">
        <is>
          <t>Roanoke, VA</t>
        </is>
      </c>
      <c r="C292" s="12" t="n">
        <v>132167</v>
      </c>
      <c r="D292" s="4" t="n">
        <v>336387.6923076923</v>
      </c>
      <c r="E292" s="4" t="n">
        <v>72557</v>
      </c>
      <c r="F292" s="4" t="n">
        <v>1188</v>
      </c>
      <c r="G292" t="inlineStr">
        <is>
          <t>2026Q2</t>
        </is>
      </c>
      <c r="H292" s="13" t="n">
        <v>6.414615384615384</v>
      </c>
      <c r="I292" t="n">
        <v>2024</v>
      </c>
    </row>
    <row r="293">
      <c r="A293" t="inlineStr">
        <is>
          <t>40340</t>
        </is>
      </c>
      <c r="B293" t="inlineStr">
        <is>
          <t>Rochester, MN</t>
        </is>
      </c>
      <c r="C293" s="12" t="n">
        <v>94844</v>
      </c>
      <c r="D293" s="4" t="n">
        <v>346603.4365441374</v>
      </c>
      <c r="E293" s="4" t="n">
        <v>90584</v>
      </c>
      <c r="F293" s="4" t="n">
        <v>1378</v>
      </c>
      <c r="G293" t="inlineStr">
        <is>
          <t>2026Q2</t>
        </is>
      </c>
      <c r="H293" s="13" t="n">
        <v>6.414615384615384</v>
      </c>
      <c r="I293" t="n">
        <v>2024</v>
      </c>
    </row>
    <row r="294">
      <c r="A294" t="inlineStr">
        <is>
          <t>40380</t>
        </is>
      </c>
      <c r="B294" t="inlineStr">
        <is>
          <t>Rochester, NY</t>
        </is>
      </c>
      <c r="C294" s="12" t="n">
        <v>449215</v>
      </c>
      <c r="D294" s="4" t="n">
        <v>288933.3772297378</v>
      </c>
      <c r="E294" s="4" t="n">
        <v>76453</v>
      </c>
      <c r="F294" s="4" t="n">
        <v>1172</v>
      </c>
      <c r="G294" t="inlineStr">
        <is>
          <t>2026Q2</t>
        </is>
      </c>
      <c r="H294" s="13" t="n">
        <v>6.414615384615384</v>
      </c>
      <c r="I294" t="n">
        <v>2024</v>
      </c>
    </row>
    <row r="295">
      <c r="A295" t="inlineStr">
        <is>
          <t>40420</t>
        </is>
      </c>
      <c r="B295" t="inlineStr">
        <is>
          <t>Rockford, IL</t>
        </is>
      </c>
      <c r="C295" s="12" t="n">
        <v>137941</v>
      </c>
      <c r="D295" s="4" t="n">
        <v>250287.9357747718</v>
      </c>
      <c r="E295" s="4" t="n">
        <v>70111</v>
      </c>
      <c r="F295" s="4" t="n">
        <v>1014</v>
      </c>
      <c r="G295" t="inlineStr">
        <is>
          <t>2026Q2</t>
        </is>
      </c>
      <c r="H295" s="13" t="n">
        <v>6.414615384615384</v>
      </c>
      <c r="I295" t="n">
        <v>2024</v>
      </c>
    </row>
    <row r="296">
      <c r="A296" t="inlineStr">
        <is>
          <t>40580</t>
        </is>
      </c>
      <c r="B296" t="inlineStr">
        <is>
          <t>Rocky Mount, NC</t>
        </is>
      </c>
      <c r="C296" s="12" t="n">
        <v>62120</v>
      </c>
      <c r="D296" s="4" t="n">
        <v>192839.1849027586</v>
      </c>
      <c r="E296" s="4" t="n">
        <v>57802</v>
      </c>
      <c r="F296" s="4" t="n">
        <v>1000</v>
      </c>
      <c r="G296" t="inlineStr">
        <is>
          <t>2026Q2</t>
        </is>
      </c>
      <c r="H296" s="13" t="n">
        <v>6.414615384615384</v>
      </c>
      <c r="I296" t="n">
        <v>2024</v>
      </c>
    </row>
    <row r="297">
      <c r="A297" t="inlineStr">
        <is>
          <t>40660</t>
        </is>
      </c>
      <c r="B297" t="inlineStr">
        <is>
          <t>Rome, GA</t>
        </is>
      </c>
      <c r="C297" s="12" t="n">
        <v>36462</v>
      </c>
      <c r="D297" s="4" t="n">
        <v>243436.1759379042</v>
      </c>
      <c r="E297" s="4" t="n">
        <v>66459</v>
      </c>
      <c r="F297" s="4" t="n">
        <v>1097</v>
      </c>
      <c r="G297" t="inlineStr">
        <is>
          <t>2026Q2</t>
        </is>
      </c>
      <c r="H297" s="13" t="n">
        <v>6.414615384615384</v>
      </c>
      <c r="I297" t="n">
        <v>2024</v>
      </c>
    </row>
    <row r="298">
      <c r="A298" t="inlineStr">
        <is>
          <t>40900</t>
        </is>
      </c>
      <c r="B298" t="inlineStr">
        <is>
          <t>Sacramento-Roseville-Folsom, CA</t>
        </is>
      </c>
      <c r="C298" s="12" t="n">
        <v>900218</v>
      </c>
      <c r="D298" s="4" t="n">
        <v>624377.4778574442</v>
      </c>
      <c r="E298" s="4" t="n">
        <v>98775</v>
      </c>
      <c r="F298" s="4" t="n">
        <v>1904</v>
      </c>
      <c r="G298" t="inlineStr">
        <is>
          <t>2026Q2</t>
        </is>
      </c>
      <c r="H298" s="13" t="n">
        <v>6.414615384615384</v>
      </c>
      <c r="I298" t="n">
        <v>2024</v>
      </c>
    </row>
    <row r="299">
      <c r="A299" t="inlineStr">
        <is>
          <t>40980</t>
        </is>
      </c>
      <c r="B299" t="inlineStr">
        <is>
          <t>Saginaw, MI</t>
        </is>
      </c>
      <c r="C299" s="12" t="n">
        <v>79346</v>
      </c>
      <c r="D299" s="4" t="n">
        <v>185902.6975136796</v>
      </c>
      <c r="E299" s="4" t="n">
        <v>61455</v>
      </c>
      <c r="F299" s="4" t="n">
        <v>972</v>
      </c>
      <c r="G299" t="inlineStr">
        <is>
          <t>2026Q2</t>
        </is>
      </c>
      <c r="H299" s="13" t="n">
        <v>6.414615384615384</v>
      </c>
      <c r="I299" t="n">
        <v>2024</v>
      </c>
    </row>
    <row r="300">
      <c r="A300" t="inlineStr">
        <is>
          <t>41420</t>
        </is>
      </c>
      <c r="B300" t="inlineStr">
        <is>
          <t>Salem, OR</t>
        </is>
      </c>
      <c r="C300" s="12" t="n">
        <v>162226</v>
      </c>
      <c r="D300" s="4" t="n">
        <v>456736.6898671247</v>
      </c>
      <c r="E300" s="4" t="n">
        <v>82732</v>
      </c>
      <c r="F300" s="4" t="n">
        <v>1526</v>
      </c>
      <c r="G300" t="inlineStr">
        <is>
          <t>2026Q2</t>
        </is>
      </c>
      <c r="H300" s="13" t="n">
        <v>6.414615384615384</v>
      </c>
      <c r="I300" t="n">
        <v>2024</v>
      </c>
    </row>
    <row r="301">
      <c r="A301" t="inlineStr">
        <is>
          <t>41500</t>
        </is>
      </c>
      <c r="B301" t="inlineStr">
        <is>
          <t>Salinas, CA</t>
        </is>
      </c>
      <c r="C301" s="12" t="n">
        <v>132591</v>
      </c>
      <c r="D301" s="4" t="n">
        <v>908309.2091397435</v>
      </c>
      <c r="E301" s="4" t="n">
        <v>93290</v>
      </c>
      <c r="F301" s="4" t="n">
        <v>2007</v>
      </c>
      <c r="G301" t="inlineStr">
        <is>
          <t>2026Q2</t>
        </is>
      </c>
      <c r="H301" s="13" t="n">
        <v>6.414615384615384</v>
      </c>
      <c r="I301" t="n">
        <v>2024</v>
      </c>
    </row>
    <row r="302">
      <c r="A302" t="inlineStr">
        <is>
          <t>41540</t>
        </is>
      </c>
      <c r="B302" t="inlineStr">
        <is>
          <t>Salisbury, MD</t>
        </is>
      </c>
      <c r="C302" s="12" t="n">
        <v>50798</v>
      </c>
      <c r="D302" s="4" t="n">
        <v>430255.2002048545</v>
      </c>
      <c r="E302" s="4" t="n">
        <v>70389</v>
      </c>
      <c r="F302" s="4" t="n">
        <v>1388</v>
      </c>
      <c r="G302" t="inlineStr">
        <is>
          <t>2026Q2</t>
        </is>
      </c>
      <c r="H302" s="13" t="n">
        <v>6.414615384615384</v>
      </c>
      <c r="I302" t="n">
        <v>2024</v>
      </c>
    </row>
    <row r="303">
      <c r="A303" t="inlineStr">
        <is>
          <t>41620</t>
        </is>
      </c>
      <c r="B303" t="inlineStr">
        <is>
          <t>Salt Lake City-Murray, UT</t>
        </is>
      </c>
      <c r="C303" s="12" t="n">
        <v>469925</v>
      </c>
      <c r="D303" s="4" t="n">
        <v>603386.1550895402</v>
      </c>
      <c r="E303" s="4" t="n">
        <v>100548</v>
      </c>
      <c r="F303" s="4" t="n">
        <v>1659</v>
      </c>
      <c r="G303" t="inlineStr">
        <is>
          <t>2026Q2</t>
        </is>
      </c>
      <c r="H303" s="13" t="n">
        <v>6.414615384615384</v>
      </c>
      <c r="I303" t="n">
        <v>2024</v>
      </c>
    </row>
    <row r="304">
      <c r="A304" t="inlineStr">
        <is>
          <t>41660</t>
        </is>
      </c>
      <c r="B304" t="inlineStr">
        <is>
          <t>San Angelo, TX</t>
        </is>
      </c>
      <c r="C304" s="12" t="n">
        <v>49420</v>
      </c>
      <c r="D304" s="4" t="n">
        <v>230196.3995009209</v>
      </c>
      <c r="E304" s="4" t="n">
        <v>69726</v>
      </c>
      <c r="F304" s="4" t="n">
        <v>1199</v>
      </c>
      <c r="G304" t="inlineStr">
        <is>
          <t>2026Q2</t>
        </is>
      </c>
      <c r="H304" s="13" t="n">
        <v>6.414615384615384</v>
      </c>
      <c r="I304" t="n">
        <v>2024</v>
      </c>
    </row>
    <row r="305">
      <c r="A305" t="inlineStr">
        <is>
          <t>41700</t>
        </is>
      </c>
      <c r="B305" t="inlineStr">
        <is>
          <t>San Antonio-New Braunfels, TX</t>
        </is>
      </c>
      <c r="C305" s="12" t="n">
        <v>1006232</v>
      </c>
      <c r="D305" s="4" t="n">
        <v>295043.4782608695</v>
      </c>
      <c r="E305" s="4" t="n">
        <v>78112</v>
      </c>
      <c r="F305" s="4" t="n">
        <v>1422</v>
      </c>
      <c r="G305" t="inlineStr">
        <is>
          <t>2026Q2</t>
        </is>
      </c>
      <c r="H305" s="13" t="n">
        <v>6.414615384615384</v>
      </c>
      <c r="I305" t="n">
        <v>2024</v>
      </c>
    </row>
    <row r="306">
      <c r="A306" t="inlineStr">
        <is>
          <t>41740</t>
        </is>
      </c>
      <c r="B306" t="inlineStr">
        <is>
          <t>San Diego-Chula Vista-Carlsbad, CA</t>
        </is>
      </c>
      <c r="C306" s="12" t="n">
        <v>1185092</v>
      </c>
      <c r="D306" s="4" t="n">
        <v>1031765.548310952</v>
      </c>
      <c r="E306" s="4" t="n">
        <v>109132</v>
      </c>
      <c r="F306" s="4" t="n">
        <v>2336</v>
      </c>
      <c r="G306" t="inlineStr">
        <is>
          <t>2026Q2</t>
        </is>
      </c>
      <c r="H306" s="13" t="n">
        <v>6.414615384615384</v>
      </c>
      <c r="I306" t="n">
        <v>2024</v>
      </c>
    </row>
    <row r="307">
      <c r="A307" t="inlineStr">
        <is>
          <t>41860</t>
        </is>
      </c>
      <c r="B307" t="inlineStr">
        <is>
          <t>San Francisco-Oakland-Fremont, CA</t>
        </is>
      </c>
      <c r="C307" s="12" t="n">
        <v>1770425</v>
      </c>
      <c r="D307" s="4" t="n">
        <v>1131884.408073414</v>
      </c>
      <c r="E307" s="4" t="n">
        <v>135590</v>
      </c>
      <c r="F307" s="4" t="n">
        <v>2435</v>
      </c>
      <c r="G307" t="inlineStr">
        <is>
          <t>2026Q2</t>
        </is>
      </c>
      <c r="H307" s="13" t="n">
        <v>6.414615384615384</v>
      </c>
      <c r="I307" t="n">
        <v>2024</v>
      </c>
    </row>
    <row r="308">
      <c r="A308" t="inlineStr">
        <is>
          <t>41940</t>
        </is>
      </c>
      <c r="B308" t="inlineStr">
        <is>
          <t>San Jose-Sunnyvale-Santa Clara, CA</t>
        </is>
      </c>
      <c r="C308" s="12" t="n">
        <v>693483</v>
      </c>
      <c r="D308" s="4" t="n">
        <v>1490712.151989485</v>
      </c>
      <c r="E308" s="4" t="n">
        <v>164801</v>
      </c>
      <c r="F308" s="4" t="n">
        <v>2827</v>
      </c>
      <c r="G308" t="inlineStr">
        <is>
          <t>2026Q2</t>
        </is>
      </c>
      <c r="H308" s="13" t="n">
        <v>6.414615384615384</v>
      </c>
      <c r="I308" t="n">
        <v>2024</v>
      </c>
    </row>
    <row r="309">
      <c r="A309" t="inlineStr">
        <is>
          <t>42020</t>
        </is>
      </c>
      <c r="B309" t="inlineStr">
        <is>
          <t>San Luis Obispo-Paso Robles, CA</t>
        </is>
      </c>
      <c r="C309" s="12" t="n">
        <v>111382</v>
      </c>
      <c r="D309" s="4" t="n">
        <v>987709.7825601643</v>
      </c>
      <c r="E309" s="4" t="n">
        <v>100724</v>
      </c>
      <c r="F309" s="4" t="n">
        <v>2110</v>
      </c>
      <c r="G309" t="inlineStr">
        <is>
          <t>2026Q2</t>
        </is>
      </c>
      <c r="H309" s="13" t="n">
        <v>6.414615384615384</v>
      </c>
      <c r="I309" t="n">
        <v>2024</v>
      </c>
    </row>
    <row r="310">
      <c r="A310" t="inlineStr">
        <is>
          <t>41780</t>
        </is>
      </c>
      <c r="B310" t="inlineStr">
        <is>
          <t>Sandusky, OH</t>
        </is>
      </c>
      <c r="C310" s="12" t="n">
        <v>53471</v>
      </c>
      <c r="D310" s="4" t="n">
        <v>256460.8595253368</v>
      </c>
      <c r="E310" s="4" t="n">
        <v>74627</v>
      </c>
      <c r="F310" s="4" t="n">
        <v>924</v>
      </c>
      <c r="G310" t="inlineStr">
        <is>
          <t>2026Q2</t>
        </is>
      </c>
      <c r="H310" s="13" t="n">
        <v>6.414615384615384</v>
      </c>
      <c r="I310" t="n">
        <v>2024</v>
      </c>
    </row>
    <row r="311">
      <c r="A311" t="inlineStr">
        <is>
          <t>42100</t>
        </is>
      </c>
      <c r="B311" t="inlineStr">
        <is>
          <t>Santa Cruz-Watsonville, CA</t>
        </is>
      </c>
      <c r="C311" s="12" t="n">
        <v>97918</v>
      </c>
      <c r="D311" s="4" t="n">
        <v>1125709.004408363</v>
      </c>
      <c r="E311" s="4" t="n">
        <v>107893</v>
      </c>
      <c r="F311" s="4" t="n">
        <v>2293</v>
      </c>
      <c r="G311" t="inlineStr">
        <is>
          <t>2026Q2</t>
        </is>
      </c>
      <c r="H311" s="13" t="n">
        <v>6.414615384615384</v>
      </c>
      <c r="I311" t="n">
        <v>2024</v>
      </c>
    </row>
    <row r="312">
      <c r="A312" t="inlineStr">
        <is>
          <t>42140</t>
        </is>
      </c>
      <c r="B312" t="inlineStr">
        <is>
          <t>Santa Fe, NM</t>
        </is>
      </c>
      <c r="C312" s="12" t="n">
        <v>72505</v>
      </c>
      <c r="D312" s="4" t="n">
        <v>531444.9417955094</v>
      </c>
      <c r="E312" s="4" t="n">
        <v>88719</v>
      </c>
      <c r="F312" s="4" t="n">
        <v>1586</v>
      </c>
      <c r="G312" t="inlineStr">
        <is>
          <t>2026Q2</t>
        </is>
      </c>
      <c r="H312" s="13" t="n">
        <v>6.414615384615384</v>
      </c>
      <c r="I312" t="n">
        <v>2024</v>
      </c>
    </row>
    <row r="313">
      <c r="A313" t="inlineStr">
        <is>
          <t>42200</t>
        </is>
      </c>
      <c r="B313" t="inlineStr">
        <is>
          <t>Santa Maria-Santa Barbara, CA</t>
        </is>
      </c>
      <c r="C313" s="12" t="n">
        <v>150509</v>
      </c>
      <c r="D313" s="4" t="n">
        <v>981075.6444320903</v>
      </c>
      <c r="E313" s="4" t="n">
        <v>95637</v>
      </c>
      <c r="F313" s="4" t="n">
        <v>2108</v>
      </c>
      <c r="G313" t="inlineStr">
        <is>
          <t>2026Q2</t>
        </is>
      </c>
      <c r="H313" s="13" t="n">
        <v>6.414615384615384</v>
      </c>
      <c r="I313" t="n">
        <v>2024</v>
      </c>
    </row>
    <row r="314">
      <c r="A314" t="inlineStr">
        <is>
          <t>42220</t>
        </is>
      </c>
      <c r="B314" t="inlineStr">
        <is>
          <t>Santa Rosa-Petaluma, CA</t>
        </is>
      </c>
      <c r="C314" s="12" t="n">
        <v>193185</v>
      </c>
      <c r="D314" s="4" t="n">
        <v>853882.6368416253</v>
      </c>
      <c r="E314" s="4" t="n">
        <v>107274</v>
      </c>
      <c r="F314" s="4" t="n">
        <v>2229</v>
      </c>
      <c r="G314" t="inlineStr">
        <is>
          <t>2026Q2</t>
        </is>
      </c>
      <c r="H314" s="13" t="n">
        <v>6.414615384615384</v>
      </c>
      <c r="I314" t="n">
        <v>2024</v>
      </c>
    </row>
    <row r="315">
      <c r="A315" t="inlineStr">
        <is>
          <t>42340</t>
        </is>
      </c>
      <c r="B315" t="inlineStr">
        <is>
          <t>Savannah, GA</t>
        </is>
      </c>
      <c r="C315" s="12" t="n">
        <v>163343</v>
      </c>
      <c r="D315" s="4" t="n">
        <v>381547.2117307265</v>
      </c>
      <c r="E315" s="4" t="n">
        <v>80518</v>
      </c>
      <c r="F315" s="4" t="n">
        <v>1589</v>
      </c>
      <c r="G315" t="inlineStr">
        <is>
          <t>2026Q2</t>
        </is>
      </c>
      <c r="H315" s="13" t="n">
        <v>6.414615384615384</v>
      </c>
      <c r="I315" t="n">
        <v>2024</v>
      </c>
    </row>
    <row r="316">
      <c r="A316" t="inlineStr">
        <is>
          <t>42540</t>
        </is>
      </c>
      <c r="B316" t="inlineStr">
        <is>
          <t>Scranton--Wilkes-Barre, PA</t>
        </is>
      </c>
      <c r="C316" s="12" t="n">
        <v>238281</v>
      </c>
      <c r="D316" s="4" t="n">
        <v>258426.8040082853</v>
      </c>
      <c r="E316" s="4" t="n">
        <v>68079</v>
      </c>
      <c r="F316" s="4" t="n">
        <v>1072</v>
      </c>
      <c r="G316" t="inlineStr">
        <is>
          <t>2026Q2</t>
        </is>
      </c>
      <c r="H316" s="13" t="n">
        <v>6.414615384615384</v>
      </c>
      <c r="I316" t="n">
        <v>2024</v>
      </c>
    </row>
    <row r="317">
      <c r="A317" t="inlineStr">
        <is>
          <t>42660</t>
        </is>
      </c>
      <c r="B317" t="inlineStr">
        <is>
          <t>Seattle-Tacoma-Bellevue, WA</t>
        </is>
      </c>
      <c r="C317" s="12" t="n">
        <v>1658652</v>
      </c>
      <c r="D317" s="4" t="n">
        <v>772098.6857309151</v>
      </c>
      <c r="E317" s="4" t="n">
        <v>112388</v>
      </c>
      <c r="F317" s="4" t="n">
        <v>2050</v>
      </c>
      <c r="G317" t="inlineStr">
        <is>
          <t>2026Q2</t>
        </is>
      </c>
      <c r="H317" s="13" t="n">
        <v>6.414615384615384</v>
      </c>
      <c r="I317" t="n">
        <v>2024</v>
      </c>
    </row>
    <row r="318">
      <c r="A318" t="inlineStr">
        <is>
          <t>42680</t>
        </is>
      </c>
      <c r="B318" t="inlineStr">
        <is>
          <t>Sebastian-Vero Beach-West Vero Corridor, FL</t>
        </is>
      </c>
      <c r="C318" s="12" t="n">
        <v>76308</v>
      </c>
      <c r="D318" s="4" t="n">
        <v>419490.9849082707</v>
      </c>
      <c r="E318" s="4" t="n">
        <v>79849</v>
      </c>
      <c r="F318" s="4" t="n">
        <v>1509</v>
      </c>
      <c r="G318" t="inlineStr">
        <is>
          <t>2026Q2</t>
        </is>
      </c>
      <c r="H318" s="13" t="n">
        <v>6.414615384615384</v>
      </c>
      <c r="I318" t="n">
        <v>2024</v>
      </c>
    </row>
    <row r="319">
      <c r="A319" t="inlineStr">
        <is>
          <t>42700</t>
        </is>
      </c>
      <c r="B319" t="inlineStr">
        <is>
          <t>Sebring, FL</t>
        </is>
      </c>
      <c r="C319" s="12" t="n">
        <v>50610</v>
      </c>
      <c r="D319" s="4" t="n">
        <v>275957.865372154</v>
      </c>
      <c r="E319" s="4" t="n">
        <v>57580</v>
      </c>
      <c r="F319" s="4" t="n">
        <v>1183</v>
      </c>
      <c r="G319" t="inlineStr">
        <is>
          <t>2026Q2</t>
        </is>
      </c>
      <c r="H319" s="13" t="n">
        <v>6.414615384615384</v>
      </c>
      <c r="I319" t="n">
        <v>2024</v>
      </c>
    </row>
    <row r="320">
      <c r="A320" t="inlineStr">
        <is>
          <t>43100</t>
        </is>
      </c>
      <c r="B320" t="inlineStr">
        <is>
          <t>Sheboygan, WI</t>
        </is>
      </c>
      <c r="C320" s="12" t="n">
        <v>50118</v>
      </c>
      <c r="D320" s="4" t="n">
        <v>312267.7033430195</v>
      </c>
      <c r="E320" s="4" t="n">
        <v>71992</v>
      </c>
      <c r="F320" s="4" t="n">
        <v>976</v>
      </c>
      <c r="G320" t="inlineStr">
        <is>
          <t>2026Q2</t>
        </is>
      </c>
      <c r="H320" s="13" t="n">
        <v>6.414615384615384</v>
      </c>
      <c r="I320" t="n">
        <v>2024</v>
      </c>
    </row>
    <row r="321">
      <c r="A321" t="inlineStr">
        <is>
          <t>43300</t>
        </is>
      </c>
      <c r="B321" t="inlineStr">
        <is>
          <t>Sherman-Denison, TX</t>
        </is>
      </c>
      <c r="C321" s="12" t="n">
        <v>60472</v>
      </c>
      <c r="D321" s="4" t="n">
        <v>279586.1619348055</v>
      </c>
      <c r="E321" s="4" t="n">
        <v>72260</v>
      </c>
      <c r="F321" s="4" t="n">
        <v>1482</v>
      </c>
      <c r="G321" t="inlineStr">
        <is>
          <t>2026Q2</t>
        </is>
      </c>
      <c r="H321" s="13" t="n">
        <v>6.414615384615384</v>
      </c>
      <c r="I321" t="n">
        <v>2024</v>
      </c>
    </row>
    <row r="322">
      <c r="A322" t="inlineStr">
        <is>
          <t>43340</t>
        </is>
      </c>
      <c r="B322" t="inlineStr">
        <is>
          <t>Shreveport-Bossier City, LA</t>
        </is>
      </c>
      <c r="C322" s="12" t="n">
        <v>160819</v>
      </c>
      <c r="D322" s="4" t="n">
        <v>220067.1605963488</v>
      </c>
      <c r="E322" s="4" t="n">
        <v>57514</v>
      </c>
      <c r="F322" s="4" t="n">
        <v>990</v>
      </c>
      <c r="G322" t="inlineStr">
        <is>
          <t>2026Q2</t>
        </is>
      </c>
      <c r="H322" s="13" t="n">
        <v>6.414615384615384</v>
      </c>
      <c r="I322" t="n">
        <v>2024</v>
      </c>
    </row>
    <row r="323">
      <c r="A323" t="inlineStr">
        <is>
          <t>43420</t>
        </is>
      </c>
      <c r="B323" t="inlineStr">
        <is>
          <t>Sierra Vista-Douglas, AZ</t>
        </is>
      </c>
      <c r="C323" s="12" t="n">
        <v>53712</v>
      </c>
      <c r="D323" s="4" t="n">
        <v>261960.4145541699</v>
      </c>
      <c r="E323" s="4" t="n">
        <v>60723</v>
      </c>
      <c r="F323" s="4" t="n">
        <v>960</v>
      </c>
      <c r="G323" t="inlineStr">
        <is>
          <t>2026Q2</t>
        </is>
      </c>
      <c r="H323" s="13" t="n">
        <v>6.414615384615384</v>
      </c>
      <c r="I323" t="n">
        <v>2024</v>
      </c>
    </row>
    <row r="324">
      <c r="A324" t="inlineStr">
        <is>
          <t>43580</t>
        </is>
      </c>
      <c r="B324" t="inlineStr">
        <is>
          <t>Sioux City, IA-NE-SD</t>
        </is>
      </c>
      <c r="C324" s="12" t="n">
        <v>55997</v>
      </c>
      <c r="D324" s="4" t="n">
        <v>219211.8102474093</v>
      </c>
      <c r="E324" s="4" t="n">
        <v>80163</v>
      </c>
      <c r="F324" s="4" t="n">
        <v>1002</v>
      </c>
      <c r="G324" t="inlineStr">
        <is>
          <t>2026Q2</t>
        </is>
      </c>
      <c r="H324" s="13" t="n">
        <v>6.414615384615384</v>
      </c>
      <c r="I324" t="n">
        <v>2024</v>
      </c>
    </row>
    <row r="325">
      <c r="A325" t="inlineStr">
        <is>
          <t>43620</t>
        </is>
      </c>
      <c r="B325" t="inlineStr">
        <is>
          <t>Sioux Falls, SD-MN</t>
        </is>
      </c>
      <c r="C325" s="12" t="n">
        <v>130223</v>
      </c>
      <c r="D325" s="4" t="n">
        <v>354592.5247702822</v>
      </c>
      <c r="E325" s="4" t="n">
        <v>82509</v>
      </c>
      <c r="F325" s="4" t="n">
        <v>1094</v>
      </c>
      <c r="G325" t="inlineStr">
        <is>
          <t>2026Q2</t>
        </is>
      </c>
      <c r="H325" s="13" t="n">
        <v>6.414615384615384</v>
      </c>
      <c r="I325" t="n">
        <v>2024</v>
      </c>
    </row>
    <row r="326">
      <c r="A326" t="inlineStr">
        <is>
          <t>43780</t>
        </is>
      </c>
      <c r="B326" t="inlineStr">
        <is>
          <t>South Bend-Mishawaka, IN-MI</t>
        </is>
      </c>
      <c r="C326" s="12" t="n">
        <v>128463</v>
      </c>
      <c r="D326" s="4" t="n">
        <v>255120.5926164499</v>
      </c>
      <c r="E326" s="4" t="n">
        <v>63894</v>
      </c>
      <c r="F326" s="4" t="n">
        <v>1101</v>
      </c>
      <c r="G326" t="inlineStr">
        <is>
          <t>2026Q2</t>
        </is>
      </c>
      <c r="H326" s="13" t="n">
        <v>6.414615384615384</v>
      </c>
      <c r="I326" t="n">
        <v>2024</v>
      </c>
    </row>
    <row r="327">
      <c r="A327" t="inlineStr">
        <is>
          <t>43900</t>
        </is>
      </c>
      <c r="B327" t="inlineStr">
        <is>
          <t>Spartanburg, SC</t>
        </is>
      </c>
      <c r="C327" s="12" t="n">
        <v>149902</v>
      </c>
      <c r="D327" s="4" t="n">
        <v>287492.37417586</v>
      </c>
      <c r="E327" s="4" t="n">
        <v>68505</v>
      </c>
      <c r="F327" s="4" t="n">
        <v>1139</v>
      </c>
      <c r="G327" t="inlineStr">
        <is>
          <t>2026Q2</t>
        </is>
      </c>
      <c r="H327" s="13" t="n">
        <v>6.414615384615384</v>
      </c>
      <c r="I327" t="n">
        <v>2024</v>
      </c>
    </row>
    <row r="328">
      <c r="A328" t="inlineStr">
        <is>
          <t>44060</t>
        </is>
      </c>
      <c r="B328" t="inlineStr">
        <is>
          <t>Spokane-Spokane Valley, WA</t>
        </is>
      </c>
      <c r="C328" s="12" t="n">
        <v>245144</v>
      </c>
      <c r="D328" s="4" t="n">
        <v>433745.1173722947</v>
      </c>
      <c r="E328" s="4" t="n">
        <v>84350</v>
      </c>
      <c r="F328" s="4" t="n">
        <v>1405</v>
      </c>
      <c r="G328" t="inlineStr">
        <is>
          <t>2026Q2</t>
        </is>
      </c>
      <c r="H328" s="13" t="n">
        <v>6.414615384615384</v>
      </c>
      <c r="I328" t="n">
        <v>2024</v>
      </c>
    </row>
    <row r="329">
      <c r="A329" t="inlineStr">
        <is>
          <t>44100</t>
        </is>
      </c>
      <c r="B329" t="inlineStr">
        <is>
          <t>Springfield, IL</t>
        </is>
      </c>
      <c r="C329" s="12" t="n">
        <v>91607</v>
      </c>
      <c r="D329" s="4" t="n">
        <v>226294.2751540041</v>
      </c>
      <c r="E329" s="4" t="n">
        <v>80190</v>
      </c>
      <c r="F329" s="4" t="n">
        <v>1047</v>
      </c>
      <c r="G329" t="inlineStr">
        <is>
          <t>2026Q2</t>
        </is>
      </c>
      <c r="H329" s="13" t="n">
        <v>6.414615384615384</v>
      </c>
      <c r="I329" t="n">
        <v>2024</v>
      </c>
    </row>
    <row r="330">
      <c r="A330" t="inlineStr">
        <is>
          <t>44140</t>
        </is>
      </c>
      <c r="B330" t="inlineStr">
        <is>
          <t>Springfield, MA</t>
        </is>
      </c>
      <c r="C330" s="12" t="n">
        <v>184235</v>
      </c>
      <c r="D330" s="4" t="n">
        <v>414543.1601019849</v>
      </c>
      <c r="E330" s="4" t="n">
        <v>71402</v>
      </c>
      <c r="F330" s="4" t="n">
        <v>1158</v>
      </c>
      <c r="G330" t="inlineStr">
        <is>
          <t>2026Q2</t>
        </is>
      </c>
      <c r="H330" s="13" t="n">
        <v>6.414615384615384</v>
      </c>
      <c r="I330" t="n">
        <v>2024</v>
      </c>
    </row>
    <row r="331">
      <c r="A331" t="inlineStr">
        <is>
          <t>44180</t>
        </is>
      </c>
      <c r="B331" t="inlineStr">
        <is>
          <t>Springfield, MO</t>
        </is>
      </c>
      <c r="C331" s="12" t="n">
        <v>201977</v>
      </c>
      <c r="D331" s="4" t="n">
        <v>287111.8089267386</v>
      </c>
      <c r="E331" s="4" t="n">
        <v>67219</v>
      </c>
      <c r="F331" s="4" t="n">
        <v>1019</v>
      </c>
      <c r="G331" t="inlineStr">
        <is>
          <t>2026Q2</t>
        </is>
      </c>
      <c r="H331" s="13" t="n">
        <v>6.414615384615384</v>
      </c>
      <c r="I331" t="n">
        <v>2024</v>
      </c>
    </row>
    <row r="332">
      <c r="A332" t="inlineStr">
        <is>
          <t>44220</t>
        </is>
      </c>
      <c r="B332" t="inlineStr">
        <is>
          <t>Springfield, OH</t>
        </is>
      </c>
      <c r="C332" s="12" t="n">
        <v>57357</v>
      </c>
      <c r="D332" s="4" t="n">
        <v>214850.4801605681</v>
      </c>
      <c r="E332" s="4" t="n">
        <v>64897</v>
      </c>
      <c r="F332" s="4" t="n">
        <v>913</v>
      </c>
      <c r="G332" t="inlineStr">
        <is>
          <t>2026Q2</t>
        </is>
      </c>
      <c r="H332" s="13" t="n">
        <v>6.414615384615384</v>
      </c>
      <c r="I332" t="n">
        <v>2024</v>
      </c>
    </row>
    <row r="333">
      <c r="A333" t="inlineStr">
        <is>
          <t>41060</t>
        </is>
      </c>
      <c r="B333" t="inlineStr">
        <is>
          <t>St. Cloud, MN</t>
        </is>
      </c>
      <c r="C333" s="12" t="n">
        <v>79923</v>
      </c>
      <c r="D333" s="4" t="n">
        <v>320238.1989450713</v>
      </c>
      <c r="E333" s="4" t="n">
        <v>75688</v>
      </c>
      <c r="F333" s="4" t="n">
        <v>1039</v>
      </c>
      <c r="G333" t="inlineStr">
        <is>
          <t>2026Q2</t>
        </is>
      </c>
      <c r="H333" s="13" t="n">
        <v>6.414615384615384</v>
      </c>
      <c r="I333" t="n">
        <v>2024</v>
      </c>
    </row>
    <row r="334">
      <c r="A334" t="inlineStr">
        <is>
          <t>41100</t>
        </is>
      </c>
      <c r="B334" t="inlineStr">
        <is>
          <t>St. George, UT</t>
        </is>
      </c>
      <c r="C334" s="12" t="n">
        <v>76153</v>
      </c>
      <c r="D334" s="4" t="n">
        <v>548032.6955815867</v>
      </c>
      <c r="E334" s="4" t="n">
        <v>86983</v>
      </c>
      <c r="F334" s="4" t="n">
        <v>1653</v>
      </c>
      <c r="G334" t="inlineStr">
        <is>
          <t>2026Q2</t>
        </is>
      </c>
      <c r="H334" s="13" t="n">
        <v>6.414615384615384</v>
      </c>
      <c r="I334" t="n">
        <v>2024</v>
      </c>
    </row>
    <row r="335">
      <c r="A335" t="inlineStr">
        <is>
          <t>41140</t>
        </is>
      </c>
      <c r="B335" t="inlineStr">
        <is>
          <t>St. Joseph, MO-KS</t>
        </is>
      </c>
      <c r="C335" s="12" t="n">
        <v>46379</v>
      </c>
      <c r="D335" s="4" t="n">
        <v>212440.8506800932</v>
      </c>
      <c r="E335" s="4" t="n">
        <v>66180</v>
      </c>
      <c r="F335" s="4" t="n">
        <v>882</v>
      </c>
      <c r="G335" t="inlineStr">
        <is>
          <t>2026Q2</t>
        </is>
      </c>
      <c r="H335" s="13" t="n">
        <v>6.414615384615384</v>
      </c>
      <c r="I335" t="n">
        <v>2024</v>
      </c>
    </row>
    <row r="336">
      <c r="A336" t="inlineStr">
        <is>
          <t>41180</t>
        </is>
      </c>
      <c r="B336" t="inlineStr">
        <is>
          <t>St. Louis, MO-IL</t>
        </is>
      </c>
      <c r="C336" s="12" t="n">
        <v>1178246</v>
      </c>
      <c r="D336" s="4" t="n">
        <v>296693.6400675743</v>
      </c>
      <c r="E336" s="4" t="n">
        <v>81679</v>
      </c>
      <c r="F336" s="4" t="n">
        <v>1154</v>
      </c>
      <c r="G336" t="inlineStr">
        <is>
          <t>2026Q2</t>
        </is>
      </c>
      <c r="H336" s="13" t="n">
        <v>6.414615384615384</v>
      </c>
      <c r="I336" t="n">
        <v>2024</v>
      </c>
    </row>
    <row r="337">
      <c r="A337" t="inlineStr">
        <is>
          <t>44300</t>
        </is>
      </c>
      <c r="B337" t="inlineStr">
        <is>
          <t>State College, PA</t>
        </is>
      </c>
      <c r="C337" s="12" t="n">
        <v>57295</v>
      </c>
      <c r="D337" s="4" t="n">
        <v>393010.1846025873</v>
      </c>
      <c r="E337" s="4" t="n">
        <v>77110</v>
      </c>
      <c r="F337" s="4" t="n">
        <v>1189</v>
      </c>
      <c r="G337" t="inlineStr">
        <is>
          <t>2026Q2</t>
        </is>
      </c>
      <c r="H337" s="13" t="n">
        <v>6.414615384615384</v>
      </c>
      <c r="I337" t="n">
        <v>2024</v>
      </c>
    </row>
    <row r="338">
      <c r="A338" t="inlineStr">
        <is>
          <t>44420</t>
        </is>
      </c>
      <c r="B338" t="inlineStr">
        <is>
          <t>Staunton-Stuarts Draft, VA</t>
        </is>
      </c>
      <c r="C338" s="12" t="n">
        <v>54364</v>
      </c>
      <c r="D338" s="4" t="n">
        <v>359386.2009395004</v>
      </c>
      <c r="E338" s="4" t="n">
        <v>73653</v>
      </c>
      <c r="F338" s="4" t="n">
        <v>1202</v>
      </c>
      <c r="G338" t="inlineStr">
        <is>
          <t>2026Q2</t>
        </is>
      </c>
      <c r="H338" s="13" t="n">
        <v>6.414615384615384</v>
      </c>
      <c r="I338" t="n">
        <v>2024</v>
      </c>
    </row>
    <row r="339">
      <c r="A339" t="inlineStr">
        <is>
          <t>44700</t>
        </is>
      </c>
      <c r="B339" t="inlineStr">
        <is>
          <t>Stockton-Lodi, CA</t>
        </is>
      </c>
      <c r="C339" s="12" t="n">
        <v>252693</v>
      </c>
      <c r="D339" s="4" t="n">
        <v>556082.2618376954</v>
      </c>
      <c r="E339" s="4" t="n">
        <v>93038</v>
      </c>
      <c r="F339" s="4" t="n">
        <v>1788</v>
      </c>
      <c r="G339" t="inlineStr">
        <is>
          <t>2026Q2</t>
        </is>
      </c>
      <c r="H339" s="13" t="n">
        <v>6.414615384615384</v>
      </c>
      <c r="I339" t="n">
        <v>2024</v>
      </c>
    </row>
    <row r="340">
      <c r="A340" t="inlineStr">
        <is>
          <t>44940</t>
        </is>
      </c>
      <c r="B340" t="inlineStr">
        <is>
          <t>Sumter, SC</t>
        </is>
      </c>
      <c r="C340" s="12" t="n">
        <v>40928</v>
      </c>
      <c r="D340" s="4" t="n">
        <v>232265.0094653698</v>
      </c>
      <c r="E340" s="4" t="n">
        <v>56824</v>
      </c>
      <c r="F340" s="4" t="n">
        <v>1110</v>
      </c>
      <c r="G340" t="inlineStr">
        <is>
          <t>2026Q2</t>
        </is>
      </c>
      <c r="H340" s="13" t="n">
        <v>6.414615384615384</v>
      </c>
      <c r="I340" t="n">
        <v>2024</v>
      </c>
    </row>
    <row r="341">
      <c r="A341" t="inlineStr">
        <is>
          <t>45060</t>
        </is>
      </c>
      <c r="B341" t="inlineStr">
        <is>
          <t>Syracuse, NY</t>
        </is>
      </c>
      <c r="C341" s="12" t="n">
        <v>275626</v>
      </c>
      <c r="D341" s="4" t="n">
        <v>272849.4631412479</v>
      </c>
      <c r="E341" s="4" t="n">
        <v>76313</v>
      </c>
      <c r="F341" s="4" t="n">
        <v>1114</v>
      </c>
      <c r="G341" t="inlineStr">
        <is>
          <t>2026Q2</t>
        </is>
      </c>
      <c r="H341" s="13" t="n">
        <v>6.414615384615384</v>
      </c>
      <c r="I341" t="n">
        <v>2024</v>
      </c>
    </row>
    <row r="342">
      <c r="A342" t="inlineStr">
        <is>
          <t>45220</t>
        </is>
      </c>
      <c r="B342" t="inlineStr">
        <is>
          <t>Tallahassee, FL</t>
        </is>
      </c>
      <c r="C342" s="12" t="n">
        <v>165331</v>
      </c>
      <c r="D342" s="4" t="n">
        <v>326230.6118067979</v>
      </c>
      <c r="E342" s="4" t="n">
        <v>65009</v>
      </c>
      <c r="F342" s="4" t="n">
        <v>1330</v>
      </c>
      <c r="G342" t="inlineStr">
        <is>
          <t>2026Q2</t>
        </is>
      </c>
      <c r="H342" s="13" t="n">
        <v>6.414615384615384</v>
      </c>
      <c r="I342" t="n">
        <v>2024</v>
      </c>
    </row>
    <row r="343">
      <c r="A343" t="inlineStr">
        <is>
          <t>45300</t>
        </is>
      </c>
      <c r="B343" t="inlineStr">
        <is>
          <t>Tampa-St. Petersburg-Clearwater, FL</t>
        </is>
      </c>
      <c r="C343" s="12" t="n">
        <v>1377328</v>
      </c>
      <c r="D343" s="4" t="n">
        <v>407178.4979253074</v>
      </c>
      <c r="E343" s="4" t="n">
        <v>78275</v>
      </c>
      <c r="F343" s="4" t="n">
        <v>1776</v>
      </c>
      <c r="G343" t="inlineStr">
        <is>
          <t>2026Q2</t>
        </is>
      </c>
      <c r="H343" s="13" t="n">
        <v>6.414615384615384</v>
      </c>
      <c r="I343" t="n">
        <v>2024</v>
      </c>
    </row>
    <row r="344">
      <c r="A344" t="inlineStr">
        <is>
          <t>45460</t>
        </is>
      </c>
      <c r="B344" t="inlineStr">
        <is>
          <t>Terre Haute, IN</t>
        </is>
      </c>
      <c r="C344" s="12" t="n">
        <v>66959</v>
      </c>
      <c r="D344" s="4" t="n">
        <v>179549.4903091174</v>
      </c>
      <c r="E344" s="4" t="n">
        <v>59209</v>
      </c>
      <c r="F344" s="4" t="n">
        <v>893</v>
      </c>
      <c r="G344" t="inlineStr">
        <is>
          <t>2026Q2</t>
        </is>
      </c>
      <c r="H344" s="13" t="n">
        <v>6.414615384615384</v>
      </c>
      <c r="I344" t="n">
        <v>2024</v>
      </c>
    </row>
    <row r="345">
      <c r="A345" t="inlineStr">
        <is>
          <t>45500</t>
        </is>
      </c>
      <c r="B345" t="inlineStr">
        <is>
          <t>Texarkana, TX-AR</t>
        </is>
      </c>
      <c r="C345" s="12" t="n">
        <v>57388</v>
      </c>
      <c r="D345" s="4" t="n">
        <v>191494.6905973748</v>
      </c>
      <c r="E345" s="4" t="n">
        <v>58000</v>
      </c>
      <c r="F345" s="4" t="n">
        <v>939</v>
      </c>
      <c r="G345" t="inlineStr">
        <is>
          <t>2026Q2</t>
        </is>
      </c>
      <c r="H345" s="13" t="n">
        <v>6.414615384615384</v>
      </c>
      <c r="I345" t="n">
        <v>2024</v>
      </c>
    </row>
    <row r="346">
      <c r="A346" t="inlineStr">
        <is>
          <t>45780</t>
        </is>
      </c>
      <c r="B346" t="inlineStr">
        <is>
          <t>Toledo, OH</t>
        </is>
      </c>
      <c r="C346" s="12" t="n">
        <v>257906</v>
      </c>
      <c r="D346" s="4" t="n">
        <v>229271.6170373162</v>
      </c>
      <c r="E346" s="4" t="n">
        <v>66095</v>
      </c>
      <c r="F346" s="4" t="n">
        <v>949</v>
      </c>
      <c r="G346" t="inlineStr">
        <is>
          <t>2026Q2</t>
        </is>
      </c>
      <c r="H346" s="13" t="n">
        <v>6.414615384615384</v>
      </c>
      <c r="I346" t="n">
        <v>2024</v>
      </c>
    </row>
    <row r="347">
      <c r="A347" t="inlineStr">
        <is>
          <t>45820</t>
        </is>
      </c>
      <c r="B347" t="inlineStr">
        <is>
          <t>Topeka, KS</t>
        </is>
      </c>
      <c r="C347" s="12" t="n">
        <v>100603</v>
      </c>
      <c r="D347" s="4" t="n">
        <v>239103.905785749</v>
      </c>
      <c r="E347" s="4" t="n">
        <v>74389</v>
      </c>
      <c r="F347" s="4" t="n">
        <v>990</v>
      </c>
      <c r="G347" t="inlineStr">
        <is>
          <t>2026Q2</t>
        </is>
      </c>
      <c r="H347" s="13" t="n">
        <v>6.414615384615384</v>
      </c>
      <c r="I347" t="n">
        <v>2024</v>
      </c>
    </row>
    <row r="348">
      <c r="A348" t="inlineStr">
        <is>
          <t>45900</t>
        </is>
      </c>
      <c r="B348" t="inlineStr">
        <is>
          <t>Traverse City, MI</t>
        </is>
      </c>
      <c r="C348" s="12" t="n">
        <v>67912</v>
      </c>
      <c r="D348" s="4" t="n">
        <v>439439.1347967414</v>
      </c>
      <c r="E348" s="4" t="n">
        <v>82805</v>
      </c>
      <c r="F348" s="4" t="n">
        <v>1329</v>
      </c>
      <c r="G348" t="inlineStr">
        <is>
          <t>2026Q2</t>
        </is>
      </c>
      <c r="H348" s="13" t="n">
        <v>6.414615384615384</v>
      </c>
      <c r="I348" t="n">
        <v>2024</v>
      </c>
    </row>
    <row r="349">
      <c r="A349" t="inlineStr">
        <is>
          <t>45940</t>
        </is>
      </c>
      <c r="B349" t="inlineStr">
        <is>
          <t>Trenton-Princeton, NJ</t>
        </is>
      </c>
      <c r="C349" s="12" t="n">
        <v>148168</v>
      </c>
      <c r="D349" s="4" t="n">
        <v>547512.0002995394</v>
      </c>
      <c r="E349" s="4" t="n">
        <v>104148</v>
      </c>
      <c r="F349" s="4" t="n">
        <v>1744</v>
      </c>
      <c r="G349" t="inlineStr">
        <is>
          <t>2026Q2</t>
        </is>
      </c>
      <c r="H349" s="13" t="n">
        <v>6.414615384615384</v>
      </c>
      <c r="I349" t="n">
        <v>2024</v>
      </c>
    </row>
    <row r="350">
      <c r="A350" t="inlineStr">
        <is>
          <t>46060</t>
        </is>
      </c>
      <c r="B350" t="inlineStr">
        <is>
          <t>Tucson, AZ</t>
        </is>
      </c>
      <c r="C350" s="12" t="n">
        <v>453787</v>
      </c>
      <c r="D350" s="4" t="n">
        <v>363892.1905630271</v>
      </c>
      <c r="E350" s="4" t="n">
        <v>72067</v>
      </c>
      <c r="F350" s="4" t="n">
        <v>1300</v>
      </c>
      <c r="G350" t="inlineStr">
        <is>
          <t>2026Q2</t>
        </is>
      </c>
      <c r="H350" s="13" t="n">
        <v>6.414615384615384</v>
      </c>
      <c r="I350" t="n">
        <v>2024</v>
      </c>
    </row>
    <row r="351">
      <c r="A351" t="inlineStr">
        <is>
          <t>46140</t>
        </is>
      </c>
      <c r="B351" t="inlineStr">
        <is>
          <t>Tulsa, OK</t>
        </is>
      </c>
      <c r="C351" s="12" t="n">
        <v>421385</v>
      </c>
      <c r="D351" s="4" t="n">
        <v>270209.9981571349</v>
      </c>
      <c r="E351" s="4" t="n">
        <v>69658</v>
      </c>
      <c r="F351" s="4" t="n">
        <v>1115</v>
      </c>
      <c r="G351" t="inlineStr">
        <is>
          <t>2026Q2</t>
        </is>
      </c>
      <c r="H351" s="13" t="n">
        <v>6.414615384615384</v>
      </c>
      <c r="I351" t="n">
        <v>2024</v>
      </c>
    </row>
    <row r="352">
      <c r="A352" t="inlineStr">
        <is>
          <t>46220</t>
        </is>
      </c>
      <c r="B352" t="inlineStr">
        <is>
          <t>Tuscaloosa, AL</t>
        </is>
      </c>
      <c r="C352" s="12" t="n">
        <v>110601</v>
      </c>
      <c r="D352" s="4" t="n">
        <v>251448.703622324</v>
      </c>
      <c r="E352" s="4" t="n">
        <v>62280</v>
      </c>
      <c r="F352" s="4" t="n">
        <v>1042</v>
      </c>
      <c r="G352" t="inlineStr">
        <is>
          <t>2026Q2</t>
        </is>
      </c>
      <c r="H352" s="13" t="n">
        <v>6.414615384615384</v>
      </c>
      <c r="I352" t="n">
        <v>2024</v>
      </c>
    </row>
    <row r="353">
      <c r="A353" t="inlineStr">
        <is>
          <t>46300</t>
        </is>
      </c>
      <c r="B353" t="inlineStr">
        <is>
          <t>Twin Falls, ID</t>
        </is>
      </c>
      <c r="C353" s="12" t="n">
        <v>44032</v>
      </c>
      <c r="D353" s="4" t="n">
        <v>346664.0500296557</v>
      </c>
      <c r="E353" s="4" t="n">
        <v>76404</v>
      </c>
      <c r="F353" s="4" t="n">
        <v>1121</v>
      </c>
      <c r="G353" t="inlineStr">
        <is>
          <t>2026Q2</t>
        </is>
      </c>
      <c r="H353" s="13" t="n">
        <v>6.414615384615384</v>
      </c>
      <c r="I353" t="n">
        <v>2024</v>
      </c>
    </row>
    <row r="354">
      <c r="A354" t="inlineStr">
        <is>
          <t>46340</t>
        </is>
      </c>
      <c r="B354" t="inlineStr">
        <is>
          <t>Tyler, TX</t>
        </is>
      </c>
      <c r="C354" s="12" t="n">
        <v>90717</v>
      </c>
      <c r="D354" s="4" t="n">
        <v>277097.6551342885</v>
      </c>
      <c r="E354" s="4" t="n">
        <v>76087</v>
      </c>
      <c r="F354" s="4" t="n">
        <v>1272</v>
      </c>
      <c r="G354" t="inlineStr">
        <is>
          <t>2026Q2</t>
        </is>
      </c>
      <c r="H354" s="13" t="n">
        <v>6.414615384615384</v>
      </c>
      <c r="I354" t="n">
        <v>2024</v>
      </c>
    </row>
    <row r="355">
      <c r="A355" t="inlineStr">
        <is>
          <t>46520</t>
        </is>
      </c>
      <c r="B355" t="inlineStr">
        <is>
          <t>Urban Honolulu, HI</t>
        </is>
      </c>
      <c r="C355" s="12" t="n">
        <v>338627</v>
      </c>
      <c r="D355" s="4" t="n">
        <v>1092733.538200271</v>
      </c>
      <c r="E355" s="4" t="n">
        <v>105205</v>
      </c>
      <c r="F355" s="4" t="n">
        <v>2001</v>
      </c>
      <c r="G355" t="inlineStr">
        <is>
          <t>2026Q2</t>
        </is>
      </c>
      <c r="H355" s="13" t="n">
        <v>6.414615384615384</v>
      </c>
      <c r="I355" t="n">
        <v>2024</v>
      </c>
    </row>
    <row r="356">
      <c r="A356" t="inlineStr">
        <is>
          <t>46540</t>
        </is>
      </c>
      <c r="B356" t="inlineStr">
        <is>
          <t>Utica-Rome, NY</t>
        </is>
      </c>
      <c r="C356" s="12" t="n">
        <v>121196</v>
      </c>
      <c r="D356" s="4" t="n">
        <v>242436.03026625</v>
      </c>
      <c r="E356" s="4" t="n">
        <v>71584</v>
      </c>
      <c r="F356" s="4" t="n">
        <v>888</v>
      </c>
      <c r="G356" t="inlineStr">
        <is>
          <t>2026Q2</t>
        </is>
      </c>
      <c r="H356" s="13" t="n">
        <v>6.414615384615384</v>
      </c>
      <c r="I356" t="n">
        <v>2024</v>
      </c>
    </row>
    <row r="357">
      <c r="A357" t="inlineStr">
        <is>
          <t>46660</t>
        </is>
      </c>
      <c r="B357" t="inlineStr">
        <is>
          <t>Valdosta, GA</t>
        </is>
      </c>
      <c r="C357" s="12" t="n">
        <v>59621</v>
      </c>
      <c r="D357" s="4" t="n">
        <v>233712.8407377334</v>
      </c>
      <c r="E357" s="4" t="n">
        <v>59180</v>
      </c>
      <c r="F357" s="4" t="n">
        <v>1092</v>
      </c>
      <c r="G357" t="inlineStr">
        <is>
          <t>2026Q2</t>
        </is>
      </c>
      <c r="H357" s="13" t="n">
        <v>6.414615384615384</v>
      </c>
      <c r="I357" t="n">
        <v>2024</v>
      </c>
    </row>
    <row r="358">
      <c r="A358" t="inlineStr">
        <is>
          <t>46700</t>
        </is>
      </c>
      <c r="B358" t="inlineStr">
        <is>
          <t>Vallejo, CA</t>
        </is>
      </c>
      <c r="C358" s="12" t="n">
        <v>160415</v>
      </c>
      <c r="D358" s="4" t="n">
        <v>616442.6454493338</v>
      </c>
      <c r="E358" s="4" t="n">
        <v>94930</v>
      </c>
      <c r="F358" s="4" t="n">
        <v>2223</v>
      </c>
      <c r="G358" t="inlineStr">
        <is>
          <t>2026Q2</t>
        </is>
      </c>
      <c r="H358" s="13" t="n">
        <v>6.414615384615384</v>
      </c>
      <c r="I358" t="n">
        <v>2024</v>
      </c>
    </row>
    <row r="359">
      <c r="A359" t="inlineStr">
        <is>
          <t>47020</t>
        </is>
      </c>
      <c r="B359" t="inlineStr">
        <is>
          <t>Victoria, TX</t>
        </is>
      </c>
      <c r="C359" s="12" t="n">
        <v>38677</v>
      </c>
      <c r="D359" s="4" t="n">
        <v>228285.5822550832</v>
      </c>
      <c r="E359" s="4" t="n">
        <v>65829</v>
      </c>
      <c r="F359" s="4" t="n">
        <v>1118</v>
      </c>
      <c r="G359" t="inlineStr">
        <is>
          <t>2026Q2</t>
        </is>
      </c>
      <c r="H359" s="13" t="n">
        <v>6.414615384615384</v>
      </c>
      <c r="I359" t="n">
        <v>2024</v>
      </c>
    </row>
    <row r="360">
      <c r="A360" t="inlineStr">
        <is>
          <t>47220</t>
        </is>
      </c>
      <c r="B360" t="inlineStr">
        <is>
          <t>Vineland, NJ</t>
        </is>
      </c>
      <c r="C360" s="12" t="n">
        <v>54166</v>
      </c>
      <c r="D360" s="4" t="n">
        <v>315132.9331309107</v>
      </c>
      <c r="E360" s="4" t="n">
        <v>68067</v>
      </c>
      <c r="F360" s="4" t="n">
        <v>1201</v>
      </c>
      <c r="G360" t="inlineStr">
        <is>
          <t>2026Q2</t>
        </is>
      </c>
      <c r="H360" s="13" t="n">
        <v>6.414615384615384</v>
      </c>
      <c r="I360" t="n">
        <v>2024</v>
      </c>
    </row>
    <row r="361">
      <c r="A361" t="inlineStr">
        <is>
          <t>47260</t>
        </is>
      </c>
      <c r="B361" t="inlineStr">
        <is>
          <t>Virginia Beach-Chesapeake-Norfolk, VA-NC</t>
        </is>
      </c>
      <c r="C361" s="12" t="n">
        <v>717911</v>
      </c>
      <c r="D361" s="4" t="n">
        <v>422418.2705570292</v>
      </c>
      <c r="E361" s="4" t="n">
        <v>82402</v>
      </c>
      <c r="F361" s="4" t="n">
        <v>1556</v>
      </c>
      <c r="G361" t="inlineStr">
        <is>
          <t>2026Q2</t>
        </is>
      </c>
      <c r="H361" s="13" t="n">
        <v>6.414615384615384</v>
      </c>
      <c r="I361" t="n">
        <v>2024</v>
      </c>
    </row>
    <row r="362">
      <c r="A362" t="inlineStr">
        <is>
          <t>47300</t>
        </is>
      </c>
      <c r="B362" t="inlineStr">
        <is>
          <t>Visalia, CA</t>
        </is>
      </c>
      <c r="C362" s="12" t="n">
        <v>147315</v>
      </c>
      <c r="D362" s="4" t="n">
        <v>404208.1270976808</v>
      </c>
      <c r="E362" s="4" t="n">
        <v>69880</v>
      </c>
      <c r="F362" s="4" t="n">
        <v>1384</v>
      </c>
      <c r="G362" t="inlineStr">
        <is>
          <t>2026Q2</t>
        </is>
      </c>
      <c r="H362" s="13" t="n">
        <v>6.414615384615384</v>
      </c>
      <c r="I362" t="n">
        <v>2024</v>
      </c>
    </row>
    <row r="363">
      <c r="A363" t="inlineStr">
        <is>
          <t>47380</t>
        </is>
      </c>
      <c r="B363" t="inlineStr">
        <is>
          <t>Waco, TX</t>
        </is>
      </c>
      <c r="C363" s="12" t="n">
        <v>116245</v>
      </c>
      <c r="D363" s="4" t="n">
        <v>262577.5431822383</v>
      </c>
      <c r="E363" s="4" t="n">
        <v>67792</v>
      </c>
      <c r="F363" s="4" t="n">
        <v>1238</v>
      </c>
      <c r="G363" t="inlineStr">
        <is>
          <t>2026Q2</t>
        </is>
      </c>
      <c r="H363" s="13" t="n">
        <v>6.414615384615384</v>
      </c>
      <c r="I363" t="n">
        <v>2024</v>
      </c>
    </row>
    <row r="364">
      <c r="A364" t="inlineStr">
        <is>
          <t>47460</t>
        </is>
      </c>
      <c r="B364" t="inlineStr">
        <is>
          <t>Walla Walla, WA</t>
        </is>
      </c>
      <c r="C364" s="12" t="n">
        <v>23640</v>
      </c>
      <c r="D364" s="4" t="n">
        <v>458303.5771489589</v>
      </c>
      <c r="E364" s="4" t="n">
        <v>72892</v>
      </c>
      <c r="F364" s="4" t="n">
        <v>1311</v>
      </c>
      <c r="G364" t="inlineStr">
        <is>
          <t>2026Q2</t>
        </is>
      </c>
      <c r="H364" s="13" t="n">
        <v>6.414615384615384</v>
      </c>
      <c r="I364" t="n">
        <v>2024</v>
      </c>
    </row>
    <row r="365">
      <c r="A365" t="inlineStr">
        <is>
          <t>47580</t>
        </is>
      </c>
      <c r="B365" t="inlineStr">
        <is>
          <t>Warner Robins, GA</t>
        </is>
      </c>
      <c r="C365" s="12" t="n">
        <v>80815</v>
      </c>
      <c r="D365" s="4" t="n">
        <v>277101.926910299</v>
      </c>
      <c r="E365" s="4" t="n">
        <v>78028</v>
      </c>
      <c r="F365" s="4" t="n">
        <v>1279</v>
      </c>
      <c r="G365" t="inlineStr">
        <is>
          <t>2026Q2</t>
        </is>
      </c>
      <c r="H365" s="13" t="n">
        <v>6.414615384615384</v>
      </c>
      <c r="I365" t="n">
        <v>2024</v>
      </c>
    </row>
    <row r="366">
      <c r="A366" t="inlineStr">
        <is>
          <t>47900</t>
        </is>
      </c>
      <c r="B366" t="inlineStr">
        <is>
          <t>Washington-Arlington-Alexandria, DC-VA-MD-WV</t>
        </is>
      </c>
      <c r="C366" s="12" t="n">
        <v>2415530</v>
      </c>
      <c r="D366" s="4" t="n">
        <v>649974.8001008576</v>
      </c>
      <c r="E366" s="4" t="n">
        <v>126244</v>
      </c>
      <c r="F366" s="4" t="n">
        <v>2037</v>
      </c>
      <c r="G366" t="inlineStr">
        <is>
          <t>2026Q2</t>
        </is>
      </c>
      <c r="H366" s="13" t="n">
        <v>6.414615384615384</v>
      </c>
      <c r="I366" t="n">
        <v>2024</v>
      </c>
    </row>
    <row r="367">
      <c r="A367" t="inlineStr">
        <is>
          <t>47940</t>
        </is>
      </c>
      <c r="B367" t="inlineStr">
        <is>
          <t>Waterloo-Cedar Falls, IA</t>
        </is>
      </c>
      <c r="C367" s="12" t="n">
        <v>70593</v>
      </c>
      <c r="D367" s="4" t="n">
        <v>237380.3025679034</v>
      </c>
      <c r="E367" s="4" t="n">
        <v>72382</v>
      </c>
      <c r="F367" s="4" t="n">
        <v>1047</v>
      </c>
      <c r="G367" t="inlineStr">
        <is>
          <t>2026Q2</t>
        </is>
      </c>
      <c r="H367" s="13" t="n">
        <v>6.414615384615384</v>
      </c>
      <c r="I367" t="n">
        <v>2024</v>
      </c>
    </row>
    <row r="368">
      <c r="A368" t="inlineStr">
        <is>
          <t>48060</t>
        </is>
      </c>
      <c r="B368" t="inlineStr">
        <is>
          <t>Watertown-Fort Drum, NY</t>
        </is>
      </c>
      <c r="C368" s="12" t="n">
        <v>49137</v>
      </c>
      <c r="D368" s="4" t="n">
        <v>235776.992470687</v>
      </c>
      <c r="E368" s="4" t="n">
        <v>70624</v>
      </c>
      <c r="F368" s="4" t="n">
        <v>1226</v>
      </c>
      <c r="G368" t="inlineStr">
        <is>
          <t>2026Q2</t>
        </is>
      </c>
      <c r="H368" s="13" t="n">
        <v>6.414615384615384</v>
      </c>
      <c r="I368" t="n">
        <v>2024</v>
      </c>
    </row>
    <row r="369">
      <c r="A369" t="inlineStr">
        <is>
          <t>48140</t>
        </is>
      </c>
      <c r="B369" t="inlineStr">
        <is>
          <t>Wausau, WI</t>
        </is>
      </c>
      <c r="C369" s="12" t="n">
        <v>58649</v>
      </c>
      <c r="D369" s="4" t="n">
        <v>285590.9676035186</v>
      </c>
      <c r="E369" s="4" t="n">
        <v>78721</v>
      </c>
      <c r="F369" s="4" t="n">
        <v>1023</v>
      </c>
      <c r="G369" t="inlineStr">
        <is>
          <t>2026Q2</t>
        </is>
      </c>
      <c r="H369" s="13" t="n">
        <v>6.414615384615384</v>
      </c>
      <c r="I369" t="n">
        <v>2024</v>
      </c>
    </row>
    <row r="370">
      <c r="A370" t="inlineStr">
        <is>
          <t>48260</t>
        </is>
      </c>
      <c r="B370" t="inlineStr">
        <is>
          <t>Weirton-Steubenville, WV-OH</t>
        </is>
      </c>
      <c r="C370" s="12" t="n">
        <v>49539</v>
      </c>
      <c r="D370" s="4" t="n">
        <v>171367.1678745519</v>
      </c>
      <c r="E370" s="4" t="n">
        <v>60159</v>
      </c>
      <c r="F370" s="4" t="n">
        <v>833</v>
      </c>
      <c r="G370" t="inlineStr">
        <is>
          <t>2026Q2</t>
        </is>
      </c>
      <c r="H370" s="13" t="n">
        <v>6.414615384615384</v>
      </c>
      <c r="I370" t="n">
        <v>2024</v>
      </c>
    </row>
    <row r="371">
      <c r="A371" t="inlineStr">
        <is>
          <t>48300</t>
        </is>
      </c>
      <c r="B371" t="inlineStr">
        <is>
          <t>Wenatchee-East Wenatchee, WA</t>
        </is>
      </c>
      <c r="C371" s="12" t="n">
        <v>49816</v>
      </c>
      <c r="D371" s="4" t="n">
        <v>527603.407574669</v>
      </c>
      <c r="E371" s="4" t="n">
        <v>79977</v>
      </c>
      <c r="F371" s="4" t="n">
        <v>1375</v>
      </c>
      <c r="G371" t="inlineStr">
        <is>
          <t>2026Q2</t>
        </is>
      </c>
      <c r="H371" s="13" t="n">
        <v>6.414615384615384</v>
      </c>
      <c r="I371" t="n">
        <v>2024</v>
      </c>
    </row>
    <row r="372">
      <c r="A372" t="inlineStr">
        <is>
          <t>48540</t>
        </is>
      </c>
      <c r="B372" t="inlineStr">
        <is>
          <t>Wheeling, WV-OH</t>
        </is>
      </c>
      <c r="C372" s="12" t="n">
        <v>59314</v>
      </c>
      <c r="D372" s="4" t="n">
        <v>170345.1178451179</v>
      </c>
      <c r="E372" s="4" t="n">
        <v>55531</v>
      </c>
      <c r="F372" s="4" t="n">
        <v>775</v>
      </c>
      <c r="G372" t="inlineStr">
        <is>
          <t>2026Q2</t>
        </is>
      </c>
      <c r="H372" s="13" t="n">
        <v>6.414615384615384</v>
      </c>
      <c r="I372" t="n">
        <v>2024</v>
      </c>
    </row>
    <row r="373">
      <c r="A373" t="inlineStr">
        <is>
          <t>48660</t>
        </is>
      </c>
      <c r="B373" t="inlineStr">
        <is>
          <t>Wichita Falls, TX</t>
        </is>
      </c>
      <c r="C373" s="12" t="n">
        <v>57750</v>
      </c>
      <c r="D373" s="4" t="n">
        <v>189490.1195670801</v>
      </c>
      <c r="E373" s="4" t="n">
        <v>66981</v>
      </c>
      <c r="F373" s="4" t="n">
        <v>1065</v>
      </c>
      <c r="G373" t="inlineStr">
        <is>
          <t>2026Q2</t>
        </is>
      </c>
      <c r="H373" s="13" t="n">
        <v>6.414615384615384</v>
      </c>
      <c r="I373" t="n">
        <v>2024</v>
      </c>
    </row>
    <row r="374">
      <c r="A374" t="inlineStr">
        <is>
          <t>48620</t>
        </is>
      </c>
      <c r="B374" t="inlineStr">
        <is>
          <t>Wichita, KS</t>
        </is>
      </c>
      <c r="C374" s="12" t="n">
        <v>260869</v>
      </c>
      <c r="D374" s="4" t="n">
        <v>256941.7750141323</v>
      </c>
      <c r="E374" s="4" t="n">
        <v>71810</v>
      </c>
      <c r="F374" s="4" t="n">
        <v>1010</v>
      </c>
      <c r="G374" t="inlineStr">
        <is>
          <t>2026Q2</t>
        </is>
      </c>
      <c r="H374" s="13" t="n">
        <v>6.414615384615384</v>
      </c>
      <c r="I374" t="n">
        <v>2024</v>
      </c>
    </row>
    <row r="375">
      <c r="A375" t="inlineStr">
        <is>
          <t>48680</t>
        </is>
      </c>
      <c r="B375" t="inlineStr">
        <is>
          <t>Wildwood-The Villages, FL</t>
        </is>
      </c>
      <c r="C375" s="12" t="n">
        <v>77562</v>
      </c>
      <c r="D375" s="4" t="n">
        <v>437288.4202342193</v>
      </c>
      <c r="E375" s="4" t="n">
        <v>78807</v>
      </c>
      <c r="F375" s="4" t="n">
        <v>1155</v>
      </c>
      <c r="G375" t="inlineStr">
        <is>
          <t>2026Q2</t>
        </is>
      </c>
      <c r="H375" s="13" t="n">
        <v>6.414615384615384</v>
      </c>
      <c r="I375" t="n">
        <v>2024</v>
      </c>
    </row>
    <row r="376">
      <c r="A376" t="inlineStr">
        <is>
          <t>48700</t>
        </is>
      </c>
      <c r="B376" t="inlineStr">
        <is>
          <t>Williamsport, PA</t>
        </is>
      </c>
      <c r="C376" s="12" t="n">
        <v>47922</v>
      </c>
      <c r="D376" s="4" t="n">
        <v>253130.9931906018</v>
      </c>
      <c r="E376" s="4" t="n">
        <v>60403</v>
      </c>
      <c r="F376" s="4" t="n">
        <v>934</v>
      </c>
      <c r="G376" t="inlineStr">
        <is>
          <t>2026Q2</t>
        </is>
      </c>
      <c r="H376" s="13" t="n">
        <v>6.414615384615384</v>
      </c>
      <c r="I376" t="n">
        <v>2024</v>
      </c>
    </row>
    <row r="377">
      <c r="A377" t="inlineStr">
        <is>
          <t>48900</t>
        </is>
      </c>
      <c r="B377" t="inlineStr">
        <is>
          <t>Wilmington, NC</t>
        </is>
      </c>
      <c r="C377" s="12" t="n">
        <v>213704</v>
      </c>
      <c r="D377" s="4" t="n">
        <v>493125.702861427</v>
      </c>
      <c r="E377" s="4" t="n">
        <v>78890</v>
      </c>
      <c r="F377" s="4" t="n">
        <v>1578</v>
      </c>
      <c r="G377" t="inlineStr">
        <is>
          <t>2026Q2</t>
        </is>
      </c>
      <c r="H377" s="13" t="n">
        <v>6.414615384615384</v>
      </c>
      <c r="I377" t="n">
        <v>2024</v>
      </c>
    </row>
    <row r="378">
      <c r="A378" t="inlineStr">
        <is>
          <t>49020</t>
        </is>
      </c>
      <c r="B378" t="inlineStr">
        <is>
          <t>Winchester, VA-WV</t>
        </is>
      </c>
      <c r="C378" s="12" t="n">
        <v>59138</v>
      </c>
      <c r="D378" s="4" t="n">
        <v>418878.2717282717</v>
      </c>
      <c r="E378" s="4" t="n">
        <v>81443</v>
      </c>
      <c r="F378" s="4" t="n">
        <v>1359</v>
      </c>
      <c r="G378" t="inlineStr">
        <is>
          <t>2026Q2</t>
        </is>
      </c>
      <c r="H378" s="13" t="n">
        <v>6.414615384615384</v>
      </c>
      <c r="I378" t="n">
        <v>2024</v>
      </c>
    </row>
    <row r="379">
      <c r="A379" t="inlineStr">
        <is>
          <t>49180</t>
        </is>
      </c>
      <c r="B379" t="inlineStr">
        <is>
          <t>Winston-Salem, NC</t>
        </is>
      </c>
      <c r="C379" s="12" t="n">
        <v>300531</v>
      </c>
      <c r="D379" s="4" t="n">
        <v>300331.1528515815</v>
      </c>
      <c r="E379" s="4" t="n">
        <v>65903</v>
      </c>
      <c r="F379" s="4" t="n">
        <v>1102</v>
      </c>
      <c r="G379" t="inlineStr">
        <is>
          <t>2026Q2</t>
        </is>
      </c>
      <c r="H379" s="13" t="n">
        <v>6.414615384615384</v>
      </c>
      <c r="I379" t="n">
        <v>2024</v>
      </c>
    </row>
    <row r="380">
      <c r="A380" t="inlineStr">
        <is>
          <t>49340</t>
        </is>
      </c>
      <c r="B380" t="inlineStr">
        <is>
          <t>Worcester, MA</t>
        </is>
      </c>
      <c r="C380" s="12" t="n">
        <v>340956</v>
      </c>
      <c r="D380" s="4" t="n">
        <v>503588.188230983</v>
      </c>
      <c r="E380" s="4" t="n">
        <v>96602</v>
      </c>
      <c r="F380" s="4" t="n">
        <v>1563</v>
      </c>
      <c r="G380" t="inlineStr">
        <is>
          <t>2026Q2</t>
        </is>
      </c>
      <c r="H380" s="13" t="n">
        <v>6.414615384615384</v>
      </c>
      <c r="I380" t="n">
        <v>2024</v>
      </c>
    </row>
    <row r="381">
      <c r="A381" t="inlineStr">
        <is>
          <t>49420</t>
        </is>
      </c>
      <c r="B381" t="inlineStr">
        <is>
          <t>Yakima, WA</t>
        </is>
      </c>
      <c r="C381" s="12" t="n">
        <v>90541</v>
      </c>
      <c r="D381" s="4" t="n">
        <v>348916.9113929739</v>
      </c>
      <c r="E381" s="4" t="n">
        <v>75399</v>
      </c>
      <c r="F381" s="4" t="n">
        <v>1106</v>
      </c>
      <c r="G381" t="inlineStr">
        <is>
          <t>2026Q2</t>
        </is>
      </c>
      <c r="H381" s="13" t="n">
        <v>6.414615384615384</v>
      </c>
      <c r="I381" t="n">
        <v>2024</v>
      </c>
    </row>
    <row r="382">
      <c r="A382" t="inlineStr">
        <is>
          <t>49620</t>
        </is>
      </c>
      <c r="B382" t="inlineStr">
        <is>
          <t>York-Hanover, PA</t>
        </is>
      </c>
      <c r="C382" s="12" t="n">
        <v>185039</v>
      </c>
      <c r="D382" s="4" t="n">
        <v>327733.9987041811</v>
      </c>
      <c r="E382" s="4" t="n">
        <v>81453</v>
      </c>
      <c r="F382" s="4" t="n">
        <v>1203</v>
      </c>
      <c r="G382" t="inlineStr">
        <is>
          <t>2026Q2</t>
        </is>
      </c>
      <c r="H382" s="13" t="n">
        <v>6.414615384615384</v>
      </c>
      <c r="I382" t="n">
        <v>2024</v>
      </c>
    </row>
    <row r="383">
      <c r="A383" t="inlineStr">
        <is>
          <t>49660</t>
        </is>
      </c>
      <c r="B383" t="inlineStr">
        <is>
          <t>Youngstown-Warren, OH</t>
        </is>
      </c>
      <c r="C383" s="12" t="n">
        <v>184997</v>
      </c>
      <c r="D383" s="4" t="n">
        <v>198288.75</v>
      </c>
      <c r="E383" s="4" t="n">
        <v>57812</v>
      </c>
      <c r="F383" s="4" t="n">
        <v>838</v>
      </c>
      <c r="G383" t="inlineStr">
        <is>
          <t>2026Q2</t>
        </is>
      </c>
      <c r="H383" s="13" t="n">
        <v>6.414615384615384</v>
      </c>
      <c r="I383" t="n">
        <v>2024</v>
      </c>
    </row>
    <row r="384">
      <c r="A384" t="inlineStr">
        <is>
          <t>49700</t>
        </is>
      </c>
      <c r="B384" t="inlineStr">
        <is>
          <t>Yuba City, CA</t>
        </is>
      </c>
      <c r="C384" s="12" t="n">
        <v>62892</v>
      </c>
      <c r="D384" s="4" t="n">
        <v>438717.8142247621</v>
      </c>
      <c r="E384" s="4" t="n">
        <v>81094</v>
      </c>
      <c r="F384" s="4" t="n">
        <v>1486</v>
      </c>
      <c r="G384" t="inlineStr">
        <is>
          <t>2026Q2</t>
        </is>
      </c>
      <c r="H384" s="13" t="n">
        <v>6.414615384615384</v>
      </c>
      <c r="I384" t="n">
        <v>2024</v>
      </c>
    </row>
    <row r="385">
      <c r="A385" t="inlineStr">
        <is>
          <t>49740</t>
        </is>
      </c>
      <c r="B385" t="inlineStr">
        <is>
          <t>Yuma, AZ</t>
        </is>
      </c>
      <c r="C385" s="12" t="n">
        <v>83795</v>
      </c>
      <c r="D385" s="4" t="n">
        <v>242176.864602558</v>
      </c>
      <c r="E385" s="4" t="n">
        <v>66844</v>
      </c>
      <c r="F385" s="4" t="n">
        <v>1099</v>
      </c>
      <c r="G385" t="inlineStr">
        <is>
          <t>2026Q2</t>
        </is>
      </c>
      <c r="H385" s="13" t="n">
        <v>6.414615384615384</v>
      </c>
      <c r="I385" t="n">
        <v>2024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Three metros through the same formulas as the Model sheet, for the recalculation test</t>
        </is>
      </c>
    </row>
    <row r="3">
      <c r="A3" s="9" t="inlineStr">
        <is>
          <t>Metro</t>
        </is>
      </c>
      <c r="B3" s="9" t="inlineStr">
        <is>
          <t>Income</t>
        </is>
      </c>
      <c r="C3" s="9" t="inlineStr">
        <is>
          <t>Rate</t>
        </is>
      </c>
      <c r="D3" s="9" t="inlineStr">
        <is>
          <t>Down share</t>
        </is>
      </c>
      <c r="E3" s="9" t="inlineStr">
        <is>
          <t>Median home</t>
        </is>
      </c>
      <c r="F3" s="9" t="inlineStr">
        <is>
          <t>Payment</t>
        </is>
      </c>
      <c r="G3" s="9" t="inlineStr">
        <is>
          <t>Payment share</t>
        </is>
      </c>
      <c r="H3" s="9" t="inlineStr">
        <is>
          <t>Affordable price</t>
        </is>
      </c>
    </row>
    <row r="4">
      <c r="A4" t="inlineStr">
        <is>
          <t>New York-Newark-Jersey City, NY-NJ</t>
        </is>
      </c>
      <c r="B4" t="n">
        <v>100000</v>
      </c>
      <c r="C4" t="n">
        <v>7.32</v>
      </c>
      <c r="D4" t="n">
        <v>0.1</v>
      </c>
      <c r="E4">
        <f>INDEX(Metros!$D$4:$D$5000,MATCH(A4,MetroNames,0))</f>
        <v/>
      </c>
      <c r="F4">
        <f>-PMT(C4/100/12,TermYears*12,E4*(1-D4))</f>
        <v/>
      </c>
      <c r="G4">
        <f>12*F4/B4</f>
        <v/>
      </c>
      <c r="H4">
        <f>-PV(C4/100/12,TermYears*12,AffordableLine*B4/12)/(1-D4)</f>
        <v/>
      </c>
    </row>
    <row r="5">
      <c r="A5" t="inlineStr">
        <is>
          <t>Los Angeles-Long Beach-Anaheim, CA</t>
        </is>
      </c>
      <c r="B5" t="n">
        <v>96000</v>
      </c>
      <c r="C5" t="n">
        <v>7.32</v>
      </c>
      <c r="D5" t="n">
        <v>0.1</v>
      </c>
      <c r="E5">
        <f>INDEX(Metros!$D$4:$D$5000,MATCH(A5,MetroNames,0))</f>
        <v/>
      </c>
      <c r="F5">
        <f>-PMT(C5/100/12,TermYears*12,E5*(1-D5))</f>
        <v/>
      </c>
      <c r="G5">
        <f>12*F5/B5</f>
        <v/>
      </c>
      <c r="H5">
        <f>-PV(C5/100/12,TermYears*12,AffordableLine*B5/12)/(1-D5)</f>
        <v/>
      </c>
    </row>
    <row r="6">
      <c r="A6" t="inlineStr">
        <is>
          <t>Chicago-Naperville-Elgin, IL-IN</t>
        </is>
      </c>
      <c r="B6" t="n">
        <v>91000</v>
      </c>
      <c r="C6" t="n">
        <v>7.32</v>
      </c>
      <c r="D6" t="n">
        <v>0.1</v>
      </c>
      <c r="E6">
        <f>INDEX(Metros!$D$4:$D$5000,MATCH(A6,MetroNames,0))</f>
        <v/>
      </c>
      <c r="F6">
        <f>-PMT(C6/100/12,TermYears*12,E6*(1-D6))</f>
        <v/>
      </c>
      <c r="G6">
        <f>12*F6/B6</f>
        <v/>
      </c>
      <c r="H6">
        <f>-PV(C6/100/12,TermYears*12,AffordableLine*B6/12)/(1-D6)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ch1.series: Source: the FHFA index anchored to the census, with Freddie Mac rates, model: Monte Carlo over the survey margins, every metropolitan area with a census income and an anchored value, 2005 to 2024, as of 2026-10-23.</t>
        </is>
      </c>
    </row>
    <row r="3">
      <c r="A3" s="9" t="inlineStr">
        <is>
          <t>Year</t>
        </is>
      </c>
      <c r="B3" s="9" t="inlineStr">
        <is>
          <t>Metros</t>
        </is>
      </c>
      <c r="C3" s="9" t="inlineStr">
        <is>
          <t>Rate</t>
        </is>
      </c>
      <c r="D3" s="9" t="inlineStr">
        <is>
          <t>Median home</t>
        </is>
      </c>
      <c r="E3" s="9" t="inlineStr">
        <is>
          <t>Price to income</t>
        </is>
      </c>
      <c r="F3" s="9" t="inlineStr">
        <is>
          <t>Payment share</t>
        </is>
      </c>
      <c r="G3" s="9" t="inlineStr">
        <is>
          <t>Low</t>
        </is>
      </c>
      <c r="H3" s="9" t="inlineStr">
        <is>
          <t>High</t>
        </is>
      </c>
    </row>
    <row r="4">
      <c r="A4" t="n">
        <v>2005</v>
      </c>
      <c r="B4" s="12" t="n">
        <v>372</v>
      </c>
      <c r="C4" s="13" t="n">
        <v>5.866730769</v>
      </c>
      <c r="D4" s="4" t="n">
        <v>247443.7769</v>
      </c>
      <c r="E4" s="13" t="n">
        <v>4.830319311</v>
      </c>
      <c r="F4" s="8" t="n">
        <v>0.3083145086</v>
      </c>
      <c r="G4" s="8" t="n">
        <v>0.3075710951</v>
      </c>
      <c r="H4" s="8" t="n">
        <v>0.3092820146</v>
      </c>
    </row>
    <row r="5">
      <c r="A5" t="n">
        <v>2006</v>
      </c>
      <c r="B5" s="12" t="n">
        <v>375</v>
      </c>
      <c r="C5" s="13" t="n">
        <v>6.413269231</v>
      </c>
      <c r="D5" s="4" t="n">
        <v>267981.8793</v>
      </c>
      <c r="E5" s="13" t="n">
        <v>4.98361449</v>
      </c>
      <c r="F5" s="8" t="n">
        <v>0.3371340393</v>
      </c>
      <c r="G5" s="8" t="n">
        <v>0.3364159094</v>
      </c>
      <c r="H5" s="8" t="n">
        <v>0.3380907369</v>
      </c>
    </row>
    <row r="6">
      <c r="A6" t="n">
        <v>2007</v>
      </c>
      <c r="B6" s="12" t="n">
        <v>375</v>
      </c>
      <c r="C6" s="13" t="n">
        <v>6.337307692</v>
      </c>
      <c r="D6" s="4" t="n">
        <v>266347.2499</v>
      </c>
      <c r="E6" s="13" t="n">
        <v>4.748720101</v>
      </c>
      <c r="F6" s="8" t="n">
        <v>0.3186957586</v>
      </c>
      <c r="G6" s="8" t="n">
        <v>0.3180053608</v>
      </c>
      <c r="H6" s="8" t="n">
        <v>0.3196573065</v>
      </c>
    </row>
    <row r="7">
      <c r="A7" t="n">
        <v>2008</v>
      </c>
      <c r="B7" s="12" t="n">
        <v>375</v>
      </c>
      <c r="C7" s="13" t="n">
        <v>6.030741758</v>
      </c>
      <c r="D7" s="4" t="n">
        <v>243578.8932</v>
      </c>
      <c r="E7" s="13" t="n">
        <v>4.208293641</v>
      </c>
      <c r="F7" s="8" t="n">
        <v>0.2733920788</v>
      </c>
      <c r="G7" s="8" t="n">
        <v>0.2727927177</v>
      </c>
      <c r="H7" s="8" t="n">
        <v>0.2741954591</v>
      </c>
    </row>
    <row r="8">
      <c r="A8" t="n">
        <v>2009</v>
      </c>
      <c r="B8" s="12" t="n">
        <v>378</v>
      </c>
      <c r="C8" s="13" t="n">
        <v>5.03918956</v>
      </c>
      <c r="D8" s="4" t="n">
        <v>224963.6363</v>
      </c>
      <c r="E8" s="13" t="n">
        <v>4.055941815</v>
      </c>
      <c r="F8" s="8" t="n">
        <v>0.2362005354</v>
      </c>
      <c r="G8" s="8" t="n">
        <v>0.2356611641</v>
      </c>
      <c r="H8" s="8" t="n">
        <v>0.2369297588</v>
      </c>
    </row>
    <row r="9">
      <c r="A9" t="n">
        <v>2010</v>
      </c>
      <c r="B9" s="12" t="n">
        <v>380</v>
      </c>
      <c r="C9" s="13" t="n">
        <v>4.700359432</v>
      </c>
      <c r="D9" s="4" t="n">
        <v>215841.3636</v>
      </c>
      <c r="E9" s="13" t="n">
        <v>3.944150467</v>
      </c>
      <c r="F9" s="8" t="n">
        <v>0.2209324429</v>
      </c>
      <c r="G9" s="8" t="n">
        <v>0.2204405994</v>
      </c>
      <c r="H9" s="8" t="n">
        <v>0.2215910409</v>
      </c>
    </row>
    <row r="10">
      <c r="A10" t="n">
        <v>2011</v>
      </c>
      <c r="B10" s="12" t="n">
        <v>380</v>
      </c>
      <c r="C10" s="13" t="n">
        <v>4.447884615</v>
      </c>
      <c r="D10" s="4" t="n">
        <v>207324.3133</v>
      </c>
      <c r="E10" s="13" t="n">
        <v>3.755253026</v>
      </c>
      <c r="F10" s="8" t="n">
        <v>0.204241047</v>
      </c>
      <c r="G10" s="8" t="n">
        <v>0.2037819407</v>
      </c>
      <c r="H10" s="8" t="n">
        <v>0.2048748102</v>
      </c>
    </row>
    <row r="11">
      <c r="A11" t="n">
        <v>2012</v>
      </c>
      <c r="B11" s="12" t="n">
        <v>380</v>
      </c>
      <c r="C11" s="13" t="n">
        <v>3.6575</v>
      </c>
      <c r="D11" s="4" t="n">
        <v>206903.853</v>
      </c>
      <c r="E11" s="13" t="n">
        <v>3.658901598</v>
      </c>
      <c r="F11" s="8" t="n">
        <v>0.1809374724</v>
      </c>
      <c r="G11" s="8" t="n">
        <v>0.1805251702</v>
      </c>
      <c r="H11" s="8" t="n">
        <v>0.181470635</v>
      </c>
    </row>
    <row r="12">
      <c r="A12" t="n">
        <v>2013</v>
      </c>
      <c r="B12" s="12" t="n">
        <v>380</v>
      </c>
      <c r="C12" s="13" t="n">
        <v>3.975576923</v>
      </c>
      <c r="D12" s="4" t="n">
        <v>217306.4171</v>
      </c>
      <c r="E12" s="13" t="n">
        <v>3.755816453</v>
      </c>
      <c r="F12" s="8" t="n">
        <v>0.1930823985</v>
      </c>
      <c r="G12" s="8" t="n">
        <v>0.1926765581</v>
      </c>
      <c r="H12" s="8" t="n">
        <v>0.193644112</v>
      </c>
    </row>
    <row r="13">
      <c r="A13" t="n">
        <v>2014</v>
      </c>
      <c r="B13" s="12" t="n">
        <v>380</v>
      </c>
      <c r="C13" s="13" t="n">
        <v>4.172815934</v>
      </c>
      <c r="D13" s="4" t="n">
        <v>230823.0184</v>
      </c>
      <c r="E13" s="13" t="n">
        <v>3.878747483</v>
      </c>
      <c r="F13" s="8" t="n">
        <v>0.2041875131</v>
      </c>
      <c r="G13" s="8" t="n">
        <v>0.2037686445</v>
      </c>
      <c r="H13" s="8" t="n">
        <v>0.2047694542</v>
      </c>
    </row>
    <row r="14">
      <c r="A14" t="n">
        <v>2015</v>
      </c>
      <c r="B14" s="12" t="n">
        <v>380</v>
      </c>
      <c r="C14" s="13" t="n">
        <v>3.847092491</v>
      </c>
      <c r="D14" s="4" t="n">
        <v>243721.8249</v>
      </c>
      <c r="E14" s="13" t="n">
        <v>3.951822391</v>
      </c>
      <c r="F14" s="8" t="n">
        <v>0.2000150014</v>
      </c>
      <c r="G14" s="8" t="n">
        <v>0.1995683524</v>
      </c>
      <c r="H14" s="8" t="n">
        <v>0.2006442187</v>
      </c>
    </row>
    <row r="15">
      <c r="A15" t="n">
        <v>2016</v>
      </c>
      <c r="B15" s="12" t="n">
        <v>381</v>
      </c>
      <c r="C15" s="13" t="n">
        <v>3.654038462</v>
      </c>
      <c r="D15" s="4" t="n">
        <v>257341.69</v>
      </c>
      <c r="E15" s="13" t="n">
        <v>4.009465393</v>
      </c>
      <c r="F15" s="8" t="n">
        <v>0.198188775</v>
      </c>
      <c r="G15" s="8" t="n">
        <v>0.1977714499</v>
      </c>
      <c r="H15" s="8" t="n">
        <v>0.1987585198</v>
      </c>
    </row>
    <row r="16">
      <c r="A16" t="n">
        <v>2017</v>
      </c>
      <c r="B16" s="12" t="n">
        <v>381</v>
      </c>
      <c r="C16" s="13" t="n">
        <v>3.989807692</v>
      </c>
      <c r="D16" s="4" t="n">
        <v>272386.3588</v>
      </c>
      <c r="E16" s="13" t="n">
        <v>4.066426511</v>
      </c>
      <c r="F16" s="8" t="n">
        <v>0.2094104388</v>
      </c>
      <c r="G16" s="8" t="n">
        <v>0.2089467251</v>
      </c>
      <c r="H16" s="8" t="n">
        <v>0.2100373001</v>
      </c>
    </row>
    <row r="17">
      <c r="A17" t="n">
        <v>2018</v>
      </c>
      <c r="B17" s="12" t="n">
        <v>379</v>
      </c>
      <c r="C17" s="13" t="n">
        <v>4.544615385</v>
      </c>
      <c r="D17" s="4" t="n">
        <v>288441.8608</v>
      </c>
      <c r="E17" s="13" t="n">
        <v>4.152073931</v>
      </c>
      <c r="F17" s="8" t="n">
        <v>0.2284001382</v>
      </c>
      <c r="G17" s="8" t="n">
        <v>0.2278873851</v>
      </c>
      <c r="H17" s="8" t="n">
        <v>0.2291094505</v>
      </c>
    </row>
    <row r="18">
      <c r="A18" t="n">
        <v>2019</v>
      </c>
      <c r="B18" s="12" t="n">
        <v>382</v>
      </c>
      <c r="C18" s="13" t="n">
        <v>3.935769231</v>
      </c>
      <c r="D18" s="4" t="n">
        <v>298421.0839</v>
      </c>
      <c r="E18" s="13" t="n">
        <v>4.07355798</v>
      </c>
      <c r="F18" s="8" t="n">
        <v>0.2084102835</v>
      </c>
      <c r="G18" s="8" t="n">
        <v>0.2079459464</v>
      </c>
      <c r="H18" s="8" t="n">
        <v>0.209083598</v>
      </c>
    </row>
    <row r="19">
      <c r="A19" t="n">
        <v>2021</v>
      </c>
      <c r="B19" s="12" t="n">
        <v>382</v>
      </c>
      <c r="C19" s="13" t="n">
        <v>2.957763278</v>
      </c>
      <c r="D19" s="4" t="n">
        <v>353357.5124</v>
      </c>
      <c r="E19" s="13" t="n">
        <v>4.588309657</v>
      </c>
      <c r="F19" s="8" t="n">
        <v>0.2077934802</v>
      </c>
      <c r="G19" s="8" t="n">
        <v>0.2073385346</v>
      </c>
      <c r="H19" s="8" t="n">
        <v>0.2084692068</v>
      </c>
    </row>
    <row r="20">
      <c r="A20" t="n">
        <v>2022</v>
      </c>
      <c r="B20" s="12" t="n">
        <v>382</v>
      </c>
      <c r="C20" s="13" t="n">
        <v>5.344038462</v>
      </c>
      <c r="D20" s="4" t="n">
        <v>409054.7228</v>
      </c>
      <c r="E20" s="13" t="n">
        <v>4.957354458</v>
      </c>
      <c r="F20" s="8" t="n">
        <v>0.2987728048</v>
      </c>
      <c r="G20" s="8" t="n">
        <v>0.2981254509</v>
      </c>
      <c r="H20" s="8" t="n">
        <v>0.2997185059</v>
      </c>
    </row>
    <row r="21">
      <c r="A21" t="n">
        <v>2023</v>
      </c>
      <c r="B21" s="12" t="n">
        <v>382</v>
      </c>
      <c r="C21" s="13" t="n">
        <v>6.806730769</v>
      </c>
      <c r="D21" s="4" t="n">
        <v>426861.3416</v>
      </c>
      <c r="E21" s="13" t="n">
        <v>4.981354653</v>
      </c>
      <c r="F21" s="8" t="n">
        <v>0.3509680589</v>
      </c>
      <c r="G21" s="8" t="n">
        <v>0.3502205317</v>
      </c>
      <c r="H21" s="8" t="n">
        <v>0.3521333211</v>
      </c>
    </row>
    <row r="22">
      <c r="A22" t="n">
        <v>2024</v>
      </c>
      <c r="B22" s="12" t="n">
        <v>382</v>
      </c>
      <c r="C22" s="13" t="n">
        <v>6.721153846</v>
      </c>
      <c r="D22" s="4" t="n">
        <v>449459.1051</v>
      </c>
      <c r="E22" s="13" t="n">
        <v>4.993486894</v>
      </c>
      <c r="F22" s="8" t="n">
        <v>0.3487532807</v>
      </c>
      <c r="G22" s="8" t="n">
        <v>0.3479778999</v>
      </c>
      <c r="H22" s="8" t="n">
        <v>0.3498973362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ch1.anchor_sensitivity: Source: the FHFA index anchored to the census, with Freddie Mac rates, model: the index anchored to the census level, every metropolitan area with a census income and an anchored value, 2005 to 2024, as of 2026-10-23.</t>
        </is>
      </c>
    </row>
    <row r="3">
      <c r="A3" s="9" t="inlineStr">
        <is>
          <t>Anchor year</t>
        </is>
      </c>
      <c r="B3" s="9" t="inlineStr">
        <is>
          <t>Latest payment share</t>
        </is>
      </c>
      <c r="C3" s="9" t="inlineStr">
        <is>
          <t>2006 payment share</t>
        </is>
      </c>
      <c r="D3" s="9" t="inlineStr">
        <is>
          <t>Difference</t>
        </is>
      </c>
      <c r="E3" s="9" t="inlineStr">
        <is>
          <t>Metros above 2006</t>
        </is>
      </c>
      <c r="F3" s="9" t="inlineStr">
        <is>
          <t>Note</t>
        </is>
      </c>
    </row>
    <row r="4">
      <c r="A4" s="12" t="n">
        <v>2015</v>
      </c>
      <c r="B4" s="8" t="n">
        <v>0.3497722588</v>
      </c>
      <c r="C4" s="8" t="n">
        <v>0.3383626325</v>
      </c>
      <c r="D4" s="14" t="n">
        <v>0.01113947394</v>
      </c>
      <c r="E4" s="12" t="n">
        <v>283</v>
      </c>
      <c r="F4" s="15" t="inlineStr"/>
    </row>
    <row r="5">
      <c r="A5" s="12" t="n">
        <v>2017</v>
      </c>
      <c r="B5" s="8" t="n">
        <v>0.3484636212</v>
      </c>
      <c r="C5" s="8" t="n">
        <v>0.3371037808</v>
      </c>
      <c r="D5" s="14" t="n">
        <v>0.01118969362</v>
      </c>
      <c r="E5" s="12" t="n">
        <v>283</v>
      </c>
      <c r="F5" s="15" t="inlineStr"/>
    </row>
    <row r="6">
      <c r="A6" s="12" t="n">
        <v>2019</v>
      </c>
      <c r="B6" s="8" t="n">
        <v>0.3487532807</v>
      </c>
      <c r="C6" s="8" t="n">
        <v>0.3371340393</v>
      </c>
      <c r="D6" s="14" t="n">
        <v>0.01142572239</v>
      </c>
      <c r="E6" s="12" t="n">
        <v>283</v>
      </c>
      <c r="F6" s="15" t="inlineStr">
        <is>
          <t>chosen</t>
        </is>
      </c>
    </row>
    <row r="7">
      <c r="A7" s="12" t="n">
        <v>2023</v>
      </c>
      <c r="B7" s="8" t="n">
        <v>0.334751099</v>
      </c>
      <c r="C7" s="8" t="n">
        <v>0.3225674949</v>
      </c>
      <c r="D7" s="14" t="n">
        <v>0.01223549732</v>
      </c>
      <c r="E7" s="12" t="n">
        <v>283</v>
      </c>
      <c r="F7" s="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c r="A1" s="1" t="inlineStr">
        <is>
          <t>ch1.line_interior: Source: the FHFA index anchored to the census, with Freddie Mac rates, every metropolitan area with a census income and an anchored value, 2005 to 2024, as of 2026-10-23.</t>
        </is>
      </c>
    </row>
    <row r="3">
      <c r="A3" s="9" t="inlineStr">
        <is>
          <t>Line</t>
        </is>
      </c>
      <c r="B3" s="9" t="inlineStr">
        <is>
          <t>Metros above</t>
        </is>
      </c>
      <c r="C3" s="9" t="inlineStr">
        <is>
          <t>Share</t>
        </is>
      </c>
    </row>
    <row r="4">
      <c r="A4" s="16" t="n">
        <v>0.25</v>
      </c>
      <c r="B4" s="12" t="n">
        <v>263</v>
      </c>
      <c r="C4" s="16" t="n">
        <v>0.6884816754</v>
      </c>
    </row>
    <row r="5">
      <c r="A5" s="16" t="n">
        <v>0.28</v>
      </c>
      <c r="B5" s="12" t="n">
        <v>191</v>
      </c>
      <c r="C5" s="16" t="n">
        <v>0.5</v>
      </c>
    </row>
    <row r="6">
      <c r="A6" s="16" t="n">
        <v>0.3</v>
      </c>
      <c r="B6" s="12" t="n">
        <v>161</v>
      </c>
      <c r="C6" s="16" t="n">
        <v>0.4214659686</v>
      </c>
    </row>
    <row r="7">
      <c r="A7" s="16" t="n">
        <v>0.35</v>
      </c>
      <c r="B7" s="12" t="n">
        <v>94</v>
      </c>
      <c r="C7" s="16" t="n">
        <v>0.2460732984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s>
  <sheetData>
    <row r="1">
      <c r="A1" s="1" t="inlineStr">
        <is>
          <t>ch2.decomposition: Source: the HMDA loan level extract, model: the price and rate decomposition, every metropolitan area with quarterly prices from 2019Q1 and loans in the base and test years (388 metros, 86 states), as of 2026-10-23.</t>
        </is>
      </c>
    </row>
    <row r="3">
      <c r="A3" s="9" t="inlineStr">
        <is>
          <t>Quarter</t>
        </is>
      </c>
      <c r="B3" s="9" t="inlineStr">
        <is>
          <t>Rate</t>
        </is>
      </c>
      <c r="C3" s="9" t="inlineStr">
        <is>
          <t>Payment</t>
        </is>
      </c>
      <c r="D3" s="9" t="inlineStr">
        <is>
          <t>Price part</t>
        </is>
      </c>
      <c r="E3" s="9" t="inlineStr">
        <is>
          <t>Rate part</t>
        </is>
      </c>
    </row>
    <row r="4">
      <c r="A4" s="15" t="inlineStr">
        <is>
          <t>2019Q1</t>
        </is>
      </c>
      <c r="B4" s="13" t="n">
        <v>4.373846154</v>
      </c>
      <c r="C4" s="4" t="n">
        <v>1315.940246</v>
      </c>
      <c r="D4" s="17" t="n">
        <v>0</v>
      </c>
      <c r="E4" s="17" t="n">
        <v>0</v>
      </c>
    </row>
    <row r="5">
      <c r="A5" s="15" t="inlineStr">
        <is>
          <t>2019Q2</t>
        </is>
      </c>
      <c r="B5" s="13" t="n">
        <v>4.010769231</v>
      </c>
      <c r="C5" s="4" t="n">
        <v>1278.661908</v>
      </c>
      <c r="D5" s="17" t="n">
        <v>19.37662568</v>
      </c>
      <c r="E5" s="17" t="n">
        <v>-56.65496378</v>
      </c>
    </row>
    <row r="6">
      <c r="A6" s="15" t="inlineStr">
        <is>
          <t>2019Q3</t>
        </is>
      </c>
      <c r="B6" s="13" t="n">
        <v>3.658461538</v>
      </c>
      <c r="C6" s="4" t="n">
        <v>1238.99256</v>
      </c>
      <c r="D6" s="17" t="n">
        <v>34.74068397</v>
      </c>
      <c r="E6" s="17" t="n">
        <v>-111.6883708</v>
      </c>
    </row>
    <row r="7">
      <c r="A7" s="15" t="inlineStr">
        <is>
          <t>2019Q4</t>
        </is>
      </c>
      <c r="B7" s="13" t="n">
        <v>3.7</v>
      </c>
      <c r="C7" s="4" t="n">
        <v>1255.068555</v>
      </c>
      <c r="D7" s="17" t="n">
        <v>45.2915066</v>
      </c>
      <c r="E7" s="17" t="n">
        <v>-106.1631981</v>
      </c>
    </row>
    <row r="8">
      <c r="A8" s="15" t="inlineStr">
        <is>
          <t>2020Q1</t>
        </is>
      </c>
      <c r="B8" s="13" t="n">
        <v>3.521538462</v>
      </c>
      <c r="C8" s="4" t="n">
        <v>1240.638681</v>
      </c>
      <c r="D8" s="17" t="n">
        <v>59.63139684</v>
      </c>
      <c r="E8" s="17" t="n">
        <v>-134.9329626</v>
      </c>
    </row>
    <row r="9">
      <c r="A9" s="15" t="inlineStr">
        <is>
          <t>2020Q2</t>
        </is>
      </c>
      <c r="B9" s="13" t="n">
        <v>3.239230769</v>
      </c>
      <c r="C9" s="4" t="n">
        <v>1209.435801</v>
      </c>
      <c r="D9" s="17" t="n">
        <v>73.26741137</v>
      </c>
      <c r="E9" s="17" t="n">
        <v>-179.7718566</v>
      </c>
    </row>
    <row r="10">
      <c r="A10" s="15" t="inlineStr">
        <is>
          <t>2020Q3</t>
        </is>
      </c>
      <c r="B10" s="13" t="n">
        <v>2.952307692</v>
      </c>
      <c r="C10" s="4" t="n">
        <v>1184.405071</v>
      </c>
      <c r="D10" s="17" t="n">
        <v>95.09617908</v>
      </c>
      <c r="E10" s="17" t="n">
        <v>-226.631355</v>
      </c>
    </row>
    <row r="11">
      <c r="A11" s="15" t="inlineStr">
        <is>
          <t>2020Q4</t>
        </is>
      </c>
      <c r="B11" s="13" t="n">
        <v>2.760714286</v>
      </c>
      <c r="C11" s="4" t="n">
        <v>1179.656774</v>
      </c>
      <c r="D11" s="17" t="n">
        <v>124.5981701</v>
      </c>
      <c r="E11" s="17" t="n">
        <v>-260.8816423</v>
      </c>
    </row>
    <row r="12">
      <c r="A12" s="15" t="inlineStr">
        <is>
          <t>2021Q1</t>
        </is>
      </c>
      <c r="B12" s="13" t="n">
        <v>2.875833333</v>
      </c>
      <c r="C12" s="4" t="n">
        <v>1226.396229</v>
      </c>
      <c r="D12" s="17" t="n">
        <v>159.5561876</v>
      </c>
      <c r="E12" s="17" t="n">
        <v>-249.1002049</v>
      </c>
    </row>
    <row r="13">
      <c r="A13" s="15" t="inlineStr">
        <is>
          <t>2021Q2</t>
        </is>
      </c>
      <c r="B13" s="13" t="n">
        <v>3.003846154</v>
      </c>
      <c r="C13" s="4" t="n">
        <v>1315.087908</v>
      </c>
      <c r="D13" s="17" t="n">
        <v>240.4765808</v>
      </c>
      <c r="E13" s="17" t="n">
        <v>-241.3289187</v>
      </c>
    </row>
    <row r="14">
      <c r="A14" s="15" t="inlineStr">
        <is>
          <t>2021Q3</t>
        </is>
      </c>
      <c r="B14" s="13" t="n">
        <v>2.872142857</v>
      </c>
      <c r="C14" s="4" t="n">
        <v>1361.561119</v>
      </c>
      <c r="D14" s="17" t="n">
        <v>322.9542571</v>
      </c>
      <c r="E14" s="17" t="n">
        <v>-277.3333841</v>
      </c>
    </row>
    <row r="15">
      <c r="A15" s="15" t="inlineStr">
        <is>
          <t>2021Q4</t>
        </is>
      </c>
      <c r="B15" s="13" t="n">
        <v>3.079230769</v>
      </c>
      <c r="C15" s="4" t="n">
        <v>1444.817118</v>
      </c>
      <c r="D15" s="17" t="n">
        <v>377.6402555</v>
      </c>
      <c r="E15" s="17" t="n">
        <v>-248.7633842</v>
      </c>
    </row>
    <row r="16">
      <c r="A16" s="15" t="inlineStr">
        <is>
          <t>2022Q1</t>
        </is>
      </c>
      <c r="B16" s="13" t="n">
        <v>3.822307692</v>
      </c>
      <c r="C16" s="4" t="n">
        <v>1643.187321</v>
      </c>
      <c r="D16" s="17" t="n">
        <v>439.7488449</v>
      </c>
      <c r="E16" s="17" t="n">
        <v>-112.5017702</v>
      </c>
    </row>
    <row r="17">
      <c r="A17" s="15" t="inlineStr">
        <is>
          <t>2022Q2</t>
        </is>
      </c>
      <c r="B17" s="13" t="n">
        <v>5.266153846</v>
      </c>
      <c r="C17" s="4" t="n">
        <v>2074.381375</v>
      </c>
      <c r="D17" s="17" t="n">
        <v>556.0014474</v>
      </c>
      <c r="E17" s="17" t="n">
        <v>202.4396816</v>
      </c>
    </row>
    <row r="18">
      <c r="A18" s="15" t="inlineStr">
        <is>
          <t>2022Q3</t>
        </is>
      </c>
      <c r="B18" s="13" t="n">
        <v>5.623076923</v>
      </c>
      <c r="C18" s="4" t="n">
        <v>2175.530377</v>
      </c>
      <c r="D18" s="17" t="n">
        <v>571.1078076</v>
      </c>
      <c r="E18" s="17" t="n">
        <v>288.4823226</v>
      </c>
    </row>
    <row r="19">
      <c r="A19" s="15" t="inlineStr">
        <is>
          <t>2022Q4</t>
        </is>
      </c>
      <c r="B19" s="13" t="n">
        <v>6.664615385</v>
      </c>
      <c r="C19" s="4" t="n">
        <v>2396.082065</v>
      </c>
      <c r="D19" s="17" t="n">
        <v>544.423806</v>
      </c>
      <c r="E19" s="17" t="n">
        <v>535.5987034</v>
      </c>
    </row>
    <row r="20">
      <c r="A20" s="15" t="inlineStr">
        <is>
          <t>2023Q1</t>
        </is>
      </c>
      <c r="B20" s="13" t="n">
        <v>6.372307692</v>
      </c>
      <c r="C20" s="4" t="n">
        <v>2331.874145</v>
      </c>
      <c r="D20" s="17" t="n">
        <v>550.4198762</v>
      </c>
      <c r="E20" s="17" t="n">
        <v>465.3947129</v>
      </c>
    </row>
    <row r="21">
      <c r="A21" s="15" t="inlineStr">
        <is>
          <t>2023Q2</t>
        </is>
      </c>
      <c r="B21" s="13" t="n">
        <v>6.510769231</v>
      </c>
      <c r="C21" s="4" t="n">
        <v>2436.933098</v>
      </c>
      <c r="D21" s="17" t="n">
        <v>606.6328308</v>
      </c>
      <c r="E21" s="17" t="n">
        <v>514.3600206</v>
      </c>
    </row>
    <row r="22">
      <c r="A22" s="15" t="inlineStr">
        <is>
          <t>2023Q3</t>
        </is>
      </c>
      <c r="B22" s="13" t="n">
        <v>7.04</v>
      </c>
      <c r="C22" s="4" t="n">
        <v>2611.107433</v>
      </c>
      <c r="D22" s="17" t="n">
        <v>635.447811</v>
      </c>
      <c r="E22" s="17" t="n">
        <v>659.7193751999999</v>
      </c>
    </row>
    <row r="23">
      <c r="A23" s="15" t="inlineStr">
        <is>
          <t>2023Q4</t>
        </is>
      </c>
      <c r="B23" s="13" t="n">
        <v>7.303846154</v>
      </c>
      <c r="C23" s="4" t="n">
        <v>2682.657336</v>
      </c>
      <c r="D23" s="17" t="n">
        <v>636.7654535</v>
      </c>
      <c r="E23" s="17" t="n">
        <v>729.9516359</v>
      </c>
    </row>
    <row r="24">
      <c r="A24" s="15" t="inlineStr">
        <is>
          <t>2024Q1</t>
        </is>
      </c>
      <c r="B24" s="13" t="n">
        <v>6.748461538</v>
      </c>
      <c r="C24" s="4" t="n">
        <v>2575.197951</v>
      </c>
      <c r="D24" s="17" t="n">
        <v>666.4674276</v>
      </c>
      <c r="E24" s="17" t="n">
        <v>592.7902773</v>
      </c>
    </row>
    <row r="25">
      <c r="A25" s="15" t="inlineStr">
        <is>
          <t>2024Q2</t>
        </is>
      </c>
      <c r="B25" s="13" t="n">
        <v>6.995384615</v>
      </c>
      <c r="C25" s="4" t="n">
        <v>2701.814245</v>
      </c>
      <c r="D25" s="17" t="n">
        <v>712.3413316</v>
      </c>
      <c r="E25" s="17" t="n">
        <v>673.5326668</v>
      </c>
    </row>
    <row r="26">
      <c r="A26" s="15" t="inlineStr">
        <is>
          <t>2024Q3</t>
        </is>
      </c>
      <c r="B26" s="13" t="n">
        <v>6.508461538</v>
      </c>
      <c r="C26" s="4" t="n">
        <v>2594.648152</v>
      </c>
      <c r="D26" s="17" t="n">
        <v>731.5504694</v>
      </c>
      <c r="E26" s="17" t="n">
        <v>547.1574366</v>
      </c>
    </row>
    <row r="27">
      <c r="A27" s="15" t="inlineStr">
        <is>
          <t>2024Q4</t>
        </is>
      </c>
      <c r="B27" s="13" t="n">
        <v>6.632307692</v>
      </c>
      <c r="C27" s="4" t="n">
        <v>2640.496488</v>
      </c>
      <c r="D27" s="17" t="n">
        <v>741.1651588</v>
      </c>
      <c r="E27" s="17" t="n">
        <v>583.3910833</v>
      </c>
    </row>
    <row r="28">
      <c r="A28" s="15" t="inlineStr">
        <is>
          <t>2025Q1</t>
        </is>
      </c>
      <c r="B28" s="13" t="n">
        <v>6.827692308</v>
      </c>
      <c r="C28" s="4" t="n">
        <v>2712.112489</v>
      </c>
      <c r="D28" s="17" t="n">
        <v>755.0195841</v>
      </c>
      <c r="E28" s="17" t="n">
        <v>641.1526586</v>
      </c>
    </row>
    <row r="29">
      <c r="A29" s="15" t="inlineStr">
        <is>
          <t>2025Q2</t>
        </is>
      </c>
      <c r="B29" s="13" t="n">
        <v>6.788461538</v>
      </c>
      <c r="C29" s="4" t="n">
        <v>2739.045351</v>
      </c>
      <c r="D29" s="17" t="n">
        <v>783.9819232</v>
      </c>
      <c r="E29" s="17" t="n">
        <v>639.1231812</v>
      </c>
    </row>
    <row r="30">
      <c r="A30" s="15" t="inlineStr">
        <is>
          <t>2025Q3</t>
        </is>
      </c>
      <c r="B30" s="13" t="n">
        <v>6.566153846</v>
      </c>
      <c r="C30" s="4" t="n">
        <v>2688.382287</v>
      </c>
      <c r="D30" s="17" t="n">
        <v>792.8501152</v>
      </c>
      <c r="E30" s="17" t="n">
        <v>579.5919252</v>
      </c>
    </row>
    <row r="31">
      <c r="A31" s="15" t="inlineStr">
        <is>
          <t>2025Q4</t>
        </is>
      </c>
      <c r="B31" s="13" t="n">
        <v>6.226428571</v>
      </c>
      <c r="C31" s="4" t="n">
        <v>2609.872205</v>
      </c>
      <c r="D31" s="17" t="n">
        <v>805.3964130000001</v>
      </c>
      <c r="E31" s="17" t="n">
        <v>488.5355453</v>
      </c>
    </row>
    <row r="32">
      <c r="A32" s="15" t="inlineStr">
        <is>
          <t>2026Q1</t>
        </is>
      </c>
      <c r="B32" s="13" t="n">
        <v>6.109166667</v>
      </c>
      <c r="C32" s="4" t="n">
        <v>2596.868904</v>
      </c>
      <c r="D32" s="17" t="n">
        <v>821.2661347</v>
      </c>
      <c r="E32" s="17" t="n">
        <v>459.6625232</v>
      </c>
    </row>
    <row r="33">
      <c r="A33" s="15" t="inlineStr">
        <is>
          <t>2026Q2</t>
        </is>
      </c>
      <c r="B33" s="13" t="n">
        <v>6.414615385</v>
      </c>
      <c r="C33" s="4" t="n">
        <v>2703.768154</v>
      </c>
      <c r="D33" s="17" t="n">
        <v>838.6437854</v>
      </c>
      <c r="E33" s="17" t="n">
        <v>549.1841222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ch2.threshold_interior: Source: the HMDA loan level extract, model: the lock in difference in differences, every metropolitan area with quarterly prices from 2019Q1 and loans in the base and test years (388 metros, 86 states), as of 2026-10-23.</t>
        </is>
      </c>
    </row>
    <row r="3">
      <c r="A3" s="9" t="inlineStr">
        <is>
          <t>Threshold</t>
        </is>
      </c>
      <c r="B3" s="9" t="inlineStr">
        <is>
          <t>Coefficient</t>
        </is>
      </c>
      <c r="C3" s="9" t="inlineStr">
        <is>
          <t>Low</t>
        </is>
      </c>
      <c r="D3" s="9" t="inlineStr">
        <is>
          <t>High</t>
        </is>
      </c>
      <c r="E3" s="9" t="inlineStr">
        <is>
          <t>Placebo</t>
        </is>
      </c>
      <c r="F3" s="9" t="inlineStr">
        <is>
          <t>Note</t>
        </is>
      </c>
    </row>
    <row r="4">
      <c r="A4" s="13" t="n">
        <v>3</v>
      </c>
      <c r="B4" s="18" t="n">
        <v>-0.09423469797</v>
      </c>
      <c r="C4" s="18" t="n">
        <v>-0.1464782881</v>
      </c>
      <c r="D4" s="18" t="n">
        <v>-0.04199110787</v>
      </c>
      <c r="E4" s="18" t="n">
        <v>0.0012267266</v>
      </c>
      <c r="F4" s="15" t="inlineStr"/>
    </row>
    <row r="5">
      <c r="A5" s="13" t="n">
        <v>3.5</v>
      </c>
      <c r="B5" s="18" t="n">
        <v>-0.06720648835</v>
      </c>
      <c r="C5" s="18" t="n">
        <v>-0.09644374358</v>
      </c>
      <c r="D5" s="18" t="n">
        <v>-0.03796923313</v>
      </c>
      <c r="E5" s="18" t="n">
        <v>0.0007996381739</v>
      </c>
      <c r="F5" s="15" t="inlineStr"/>
    </row>
    <row r="6">
      <c r="A6" s="13" t="n">
        <v>4</v>
      </c>
      <c r="B6" s="18" t="n">
        <v>-0.05579944357</v>
      </c>
      <c r="C6" s="18" t="n">
        <v>-0.07727095614</v>
      </c>
      <c r="D6" s="18" t="n">
        <v>-0.03432793101</v>
      </c>
      <c r="E6" s="18" t="n">
        <v>0.0006910482576</v>
      </c>
      <c r="F6" s="15" t="inlineStr">
        <is>
          <t>chosen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ch3.bands: Source: the American Community Survey one year release, model: the cost burden shares, every metropolitan area with renters in the census tables, 2005 to 2024 (392 metros in 2024), as of 2026-10-23.</t>
        </is>
      </c>
    </row>
    <row r="3">
      <c r="A3" s="9" t="inlineStr">
        <is>
          <t>Year</t>
        </is>
      </c>
      <c r="B3" s="9" t="inlineStr">
        <is>
          <t>Under 30 percent</t>
        </is>
      </c>
      <c r="C3" s="9" t="inlineStr">
        <is>
          <t>30 to 50 percent</t>
        </is>
      </c>
      <c r="D3" s="9" t="inlineStr">
        <is>
          <t>50 percent and over</t>
        </is>
      </c>
    </row>
    <row r="4">
      <c r="A4" t="n">
        <v>2005</v>
      </c>
      <c r="B4" s="8" t="n">
        <v>0.5052067671</v>
      </c>
      <c r="C4" s="8" t="n">
        <v>0.2435154249</v>
      </c>
      <c r="D4" s="8" t="n">
        <v>0.251277808</v>
      </c>
    </row>
    <row r="5">
      <c r="A5" t="n">
        <v>2006</v>
      </c>
      <c r="B5" s="8" t="n">
        <v>0.5022673393</v>
      </c>
      <c r="C5" s="8" t="n">
        <v>0.2462983779</v>
      </c>
      <c r="D5" s="8" t="n">
        <v>0.2514342828</v>
      </c>
    </row>
    <row r="6">
      <c r="A6" t="n">
        <v>2007</v>
      </c>
      <c r="B6" s="8" t="n">
        <v>0.5068541576</v>
      </c>
      <c r="C6" s="8" t="n">
        <v>0.2475368062</v>
      </c>
      <c r="D6" s="8" t="n">
        <v>0.2456090363</v>
      </c>
    </row>
    <row r="7">
      <c r="A7" t="n">
        <v>2008</v>
      </c>
      <c r="B7" s="8" t="n">
        <v>0.5021829611</v>
      </c>
      <c r="C7" s="8" t="n">
        <v>0.2468411871</v>
      </c>
      <c r="D7" s="8" t="n">
        <v>0.2509758519</v>
      </c>
    </row>
    <row r="8">
      <c r="A8" t="n">
        <v>2009</v>
      </c>
      <c r="B8" s="8" t="n">
        <v>0.4845969576</v>
      </c>
      <c r="C8" s="8" t="n">
        <v>0.2515814326</v>
      </c>
      <c r="D8" s="8" t="n">
        <v>0.2638216098</v>
      </c>
    </row>
    <row r="9">
      <c r="A9" t="n">
        <v>2010</v>
      </c>
      <c r="B9" s="8" t="n">
        <v>0.4701729583</v>
      </c>
      <c r="C9" s="8" t="n">
        <v>0.2554731405</v>
      </c>
      <c r="D9" s="8" t="n">
        <v>0.2743539012</v>
      </c>
    </row>
    <row r="10">
      <c r="A10" t="n">
        <v>2011</v>
      </c>
      <c r="B10" s="8" t="n">
        <v>0.4658790973</v>
      </c>
      <c r="C10" s="8" t="n">
        <v>0.2544475887</v>
      </c>
      <c r="D10" s="8" t="n">
        <v>0.279673314</v>
      </c>
    </row>
    <row r="11">
      <c r="A11" t="n">
        <v>2012</v>
      </c>
      <c r="B11" s="8" t="n">
        <v>0.4798844661</v>
      </c>
      <c r="C11" s="8" t="n">
        <v>0.2498490317</v>
      </c>
      <c r="D11" s="8" t="n">
        <v>0.2702665022</v>
      </c>
    </row>
    <row r="12">
      <c r="A12" t="n">
        <v>2013</v>
      </c>
      <c r="B12" s="8" t="n">
        <v>0.4847058788</v>
      </c>
      <c r="C12" s="8" t="n">
        <v>0.250669467</v>
      </c>
      <c r="D12" s="8" t="n">
        <v>0.2646246542</v>
      </c>
    </row>
    <row r="13">
      <c r="A13" t="n">
        <v>2014</v>
      </c>
      <c r="B13" s="8" t="n">
        <v>0.4823417146</v>
      </c>
      <c r="C13" s="8" t="n">
        <v>0.2543991756</v>
      </c>
      <c r="D13" s="8" t="n">
        <v>0.2632591098</v>
      </c>
    </row>
    <row r="14">
      <c r="A14" t="n">
        <v>2015</v>
      </c>
      <c r="B14" s="8" t="n">
        <v>0.4941456769</v>
      </c>
      <c r="C14" s="8" t="n">
        <v>0.2513477115</v>
      </c>
      <c r="D14" s="8" t="n">
        <v>0.2545066116</v>
      </c>
    </row>
    <row r="15">
      <c r="A15" t="n">
        <v>2016</v>
      </c>
      <c r="B15" s="8" t="n">
        <v>0.502695016</v>
      </c>
      <c r="C15" s="8" t="n">
        <v>0.2477955481</v>
      </c>
      <c r="D15" s="8" t="n">
        <v>0.2495094359</v>
      </c>
    </row>
    <row r="16">
      <c r="A16" t="n">
        <v>2017</v>
      </c>
      <c r="B16" s="8" t="n">
        <v>0.5046061992999999</v>
      </c>
      <c r="C16" s="8" t="n">
        <v>0.2487416717</v>
      </c>
      <c r="D16" s="8" t="n">
        <v>0.246652129</v>
      </c>
    </row>
    <row r="17">
      <c r="A17" t="n">
        <v>2018</v>
      </c>
      <c r="B17" s="8" t="n">
        <v>0.5030994862</v>
      </c>
      <c r="C17" s="8" t="n">
        <v>0.24913466</v>
      </c>
      <c r="D17" s="8" t="n">
        <v>0.2477658538</v>
      </c>
    </row>
    <row r="18">
      <c r="A18" t="n">
        <v>2019</v>
      </c>
      <c r="B18" s="8" t="n">
        <v>0.515659917</v>
      </c>
      <c r="C18" s="8" t="n">
        <v>0.2472321851</v>
      </c>
      <c r="D18" s="8" t="n">
        <v>0.2371078979</v>
      </c>
    </row>
    <row r="19">
      <c r="A19" t="n">
        <v>2021</v>
      </c>
      <c r="B19" s="8" t="n">
        <v>0.4894627972</v>
      </c>
      <c r="C19" s="8" t="n">
        <v>0.2492877568</v>
      </c>
      <c r="D19" s="8" t="n">
        <v>0.261249446</v>
      </c>
    </row>
    <row r="20">
      <c r="A20" t="n">
        <v>2022</v>
      </c>
      <c r="B20" s="8" t="n">
        <v>0.4811019985</v>
      </c>
      <c r="C20" s="8" t="n">
        <v>0.2523779276</v>
      </c>
      <c r="D20" s="8" t="n">
        <v>0.2665200739</v>
      </c>
    </row>
    <row r="21">
      <c r="A21" t="n">
        <v>2023</v>
      </c>
      <c r="B21" s="8" t="n">
        <v>0.4823330942</v>
      </c>
      <c r="C21" s="8" t="n">
        <v>0.2534952386</v>
      </c>
      <c r="D21" s="8" t="n">
        <v>0.2641716672</v>
      </c>
    </row>
    <row r="22">
      <c r="A22" t="n">
        <v>2024</v>
      </c>
      <c r="B22" s="8" t="n">
        <v>0.482306303</v>
      </c>
      <c r="C22" s="8" t="n">
        <v>0.2569297026</v>
      </c>
      <c r="D22" s="8" t="n">
        <v>0.2607639944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ch3.by_income_group: Source: the American Community Survey one year release, model: the cost burden shares, every metropolitan area with renters in the census tables, 2005 to 2024 (392 metros in 2024), as of 2026-10-23.</t>
        </is>
      </c>
    </row>
    <row r="3">
      <c r="A3" s="9" t="inlineStr">
        <is>
          <t>Income group</t>
        </is>
      </c>
      <c r="B3" s="9" t="inlineStr">
        <is>
          <t>Renters</t>
        </is>
      </c>
      <c r="C3" s="9" t="inlineStr">
        <is>
          <t>Burdened</t>
        </is>
      </c>
      <c r="D3" s="9" t="inlineStr">
        <is>
          <t>Severely burdened</t>
        </is>
      </c>
    </row>
    <row r="4">
      <c r="A4" s="15" t="inlineStr">
        <is>
          <t>under 10k</t>
        </is>
      </c>
      <c r="B4" s="12" t="n">
        <v>2100866</v>
      </c>
      <c r="C4" s="8" t="n">
        <v>0.9780937956</v>
      </c>
      <c r="D4" s="8" t="n">
        <v>0.9347416732</v>
      </c>
    </row>
    <row r="5">
      <c r="A5" s="15" t="inlineStr">
        <is>
          <t>10k to 20k</t>
        </is>
      </c>
      <c r="B5" s="12" t="n">
        <v>3318512</v>
      </c>
      <c r="C5" s="8" t="n">
        <v>0.8664829297</v>
      </c>
      <c r="D5" s="8" t="n">
        <v>0.7045549330999999</v>
      </c>
    </row>
    <row r="6">
      <c r="A6" s="15" t="inlineStr">
        <is>
          <t>20k to 35k</t>
        </is>
      </c>
      <c r="B6" s="12" t="n">
        <v>4575863</v>
      </c>
      <c r="C6" s="8" t="n">
        <v>0.8830384564</v>
      </c>
      <c r="D6" s="8" t="n">
        <v>0.5976796071</v>
      </c>
    </row>
    <row r="7">
      <c r="A7" s="15" t="inlineStr">
        <is>
          <t>35k to 50k</t>
        </is>
      </c>
      <c r="B7" s="12" t="n">
        <v>4532267</v>
      </c>
      <c r="C7" s="8" t="n">
        <v>0.7804136429</v>
      </c>
      <c r="D7" s="8" t="n">
        <v>0.3083445878</v>
      </c>
    </row>
    <row r="8">
      <c r="A8" s="15" t="inlineStr">
        <is>
          <t>50k to 75k</t>
        </is>
      </c>
      <c r="B8" s="12" t="n">
        <v>6509505</v>
      </c>
      <c r="C8" s="8" t="n">
        <v>0.5614963043</v>
      </c>
      <c r="D8" s="8" t="n">
        <v>0.1031139849</v>
      </c>
    </row>
    <row r="9">
      <c r="A9" s="15" t="inlineStr">
        <is>
          <t>75k to 100k</t>
        </is>
      </c>
      <c r="B9" s="12" t="n">
        <v>4512280</v>
      </c>
      <c r="C9" s="8" t="n">
        <v>0.3060306541</v>
      </c>
      <c r="D9" s="8" t="n">
        <v>0.03180897462</v>
      </c>
    </row>
    <row r="10">
      <c r="A10" s="15" t="inlineStr">
        <is>
          <t>100k plus</t>
        </is>
      </c>
      <c r="B10" s="12" t="n">
        <v>9407120</v>
      </c>
      <c r="C10" s="8" t="n">
        <v>0.0974765922</v>
      </c>
      <c r="D10" s="8" t="n">
        <v>0.009030075092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ch3.line_interior: Source: the American Community Survey one year release, every metropolitan area with renters in the census tables, 2005 to 2024 (392 metros in 2024), as of 2026-10-23.</t>
        </is>
      </c>
    </row>
    <row r="3">
      <c r="A3" s="9" t="inlineStr">
        <is>
          <t>Stated line</t>
        </is>
      </c>
      <c r="B3" s="9" t="inlineStr">
        <is>
          <t>Severe share</t>
        </is>
      </c>
      <c r="C3" s="9" t="inlineStr">
        <is>
          <t>Interval against the line</t>
        </is>
      </c>
      <c r="D3" s="9" t="inlineStr">
        <is>
          <t>Note</t>
        </is>
      </c>
    </row>
    <row r="4">
      <c r="A4" s="16" t="n">
        <v>0.15</v>
      </c>
      <c r="B4" s="8" t="n">
        <v>0.2649866366</v>
      </c>
      <c r="C4" s="15" t="inlineStr">
        <is>
          <t>clears</t>
        </is>
      </c>
      <c r="D4" s="15" t="inlineStr"/>
    </row>
    <row r="5">
      <c r="A5" s="16" t="n">
        <v>0.2</v>
      </c>
      <c r="B5" s="8" t="n">
        <v>0.2649866366</v>
      </c>
      <c r="C5" s="15" t="inlineStr">
        <is>
          <t>clears</t>
        </is>
      </c>
      <c r="D5" s="15" t="inlineStr">
        <is>
          <t>chosen</t>
        </is>
      </c>
    </row>
    <row r="6">
      <c r="A6" s="16" t="n">
        <v>0.25</v>
      </c>
      <c r="B6" s="8" t="n">
        <v>0.2649866366</v>
      </c>
      <c r="C6" s="15" t="inlineStr">
        <is>
          <t>clears</t>
        </is>
      </c>
      <c r="D6" s="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ch4.specifications: Source: permits beside the price index, model: supply on weighted cells with fixed effects, 385 metropolitan areas over 5 windows of 5 years (1925 cells, 85 states), as of 2026-10-23.</t>
        </is>
      </c>
    </row>
    <row r="3">
      <c r="A3" s="9" t="inlineStr">
        <is>
          <t>Specification</t>
        </is>
      </c>
      <c r="B3" s="9" t="inlineStr">
        <is>
          <t>Annual growth per permit per 100 households</t>
        </is>
      </c>
      <c r="C3" s="9" t="inlineStr">
        <is>
          <t>Low</t>
        </is>
      </c>
      <c r="D3" s="9" t="inlineStr">
        <is>
          <t>High</t>
        </is>
      </c>
      <c r="E3" s="9" t="inlineStr">
        <is>
          <t>Over the window</t>
        </is>
      </c>
      <c r="F3" s="9" t="inlineStr">
        <is>
          <t>Clusters</t>
        </is>
      </c>
    </row>
    <row r="4">
      <c r="A4" s="15" t="inlineStr">
        <is>
          <t>with the demand control</t>
        </is>
      </c>
      <c r="B4" s="19" t="n">
        <v>-0.01602672849</v>
      </c>
      <c r="C4" s="19" t="n">
        <v>-0.02862552917</v>
      </c>
      <c r="D4" s="19" t="n">
        <v>-0.003427927808</v>
      </c>
      <c r="E4" s="14" t="n">
        <v>-0.08013364245</v>
      </c>
      <c r="F4" s="12" t="n">
        <v>85</v>
      </c>
    </row>
    <row r="5">
      <c r="A5" s="15" t="inlineStr">
        <is>
          <t>without the demand control</t>
        </is>
      </c>
      <c r="B5" s="19" t="n">
        <v>-0.000890115925</v>
      </c>
      <c r="C5" s="19" t="n">
        <v>-0.00917647762</v>
      </c>
      <c r="D5" s="19" t="n">
        <v>0.00739624577</v>
      </c>
      <c r="E5" s="14" t="n">
        <v>-0.004450579625</v>
      </c>
      <c r="F5" s="12" t="n">
        <v>85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ch4.window_interior: Source: permits beside the price index, model: supply on weighted cells with fixed effects, 385 metropolitan areas over 5 windows of 5 years (1925 cells, 85 states), as of 2026-10-23.</t>
        </is>
      </c>
    </row>
    <row r="3">
      <c r="A3" s="9" t="inlineStr">
        <is>
          <t>Window years</t>
        </is>
      </c>
      <c r="B3" s="9" t="inlineStr">
        <is>
          <t>Controlled</t>
        </is>
      </c>
      <c r="C3" s="9" t="inlineStr">
        <is>
          <t>Low</t>
        </is>
      </c>
      <c r="D3" s="9" t="inlineStr">
        <is>
          <t>High</t>
        </is>
      </c>
      <c r="E3" s="9" t="inlineStr">
        <is>
          <t>Uncontrolled</t>
        </is>
      </c>
      <c r="F3" s="9" t="inlineStr">
        <is>
          <t>Note</t>
        </is>
      </c>
    </row>
    <row r="4">
      <c r="A4" s="12" t="n">
        <v>3</v>
      </c>
      <c r="B4" s="19" t="n">
        <v>3.681298444e-05</v>
      </c>
      <c r="C4" s="19" t="n">
        <v>-0.01305167928</v>
      </c>
      <c r="D4" s="19" t="n">
        <v>0.01312530525</v>
      </c>
      <c r="E4" s="19" t="n">
        <v>0.01128920464</v>
      </c>
      <c r="F4" s="15" t="inlineStr">
        <is>
          <t>degenerate</t>
        </is>
      </c>
    </row>
    <row r="5">
      <c r="A5" s="12" t="n">
        <v>5</v>
      </c>
      <c r="B5" s="19" t="n">
        <v>-0.01602672849</v>
      </c>
      <c r="C5" s="19" t="n">
        <v>-0.02862552917</v>
      </c>
      <c r="D5" s="19" t="n">
        <v>-0.003427927808</v>
      </c>
      <c r="E5" s="19" t="n">
        <v>-0.000890115925</v>
      </c>
      <c r="F5" s="15" t="inlineStr">
        <is>
          <t>chosen</t>
        </is>
      </c>
    </row>
    <row r="6">
      <c r="A6" s="12" t="n">
        <v>7</v>
      </c>
      <c r="B6" s="19" t="n">
        <v>0.001604660717</v>
      </c>
      <c r="C6" s="19" t="n">
        <v>-0.01266135506</v>
      </c>
      <c r="D6" s="19" t="n">
        <v>0.01587067649</v>
      </c>
      <c r="E6" s="19" t="n">
        <v>0.01000046173</v>
      </c>
      <c r="F6" s="1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3"/>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ch5.largest: Source: the FHFA index anchored to the census, with Freddie Mac rates, model: Monte Carlo over the survey margins, every metropolitan area present in both the index and the census release of 2024 (382 metros); micropolitan areas excluded, as of 2026-10-23.</t>
        </is>
      </c>
    </row>
    <row r="3">
      <c r="A3" s="9" t="inlineStr">
        <is>
          <t>Metro</t>
        </is>
      </c>
      <c r="B3" s="9" t="inlineStr">
        <is>
          <t>Households</t>
        </is>
      </c>
      <c r="C3" s="9" t="inlineStr">
        <is>
          <t>Median home</t>
        </is>
      </c>
      <c r="D3" s="9" t="inlineStr">
        <is>
          <t>Median income</t>
        </is>
      </c>
      <c r="E3" s="9" t="inlineStr">
        <is>
          <t>Payment share</t>
        </is>
      </c>
      <c r="F3" s="9" t="inlineStr">
        <is>
          <t>Low</t>
        </is>
      </c>
      <c r="G3" s="9" t="inlineStr">
        <is>
          <t>High</t>
        </is>
      </c>
      <c r="H3" s="9" t="inlineStr">
        <is>
          <t>Raw rank</t>
        </is>
      </c>
      <c r="I3" s="9" t="inlineStr">
        <is>
          <t>Adjusted rank</t>
        </is>
      </c>
      <c r="J3" s="9" t="inlineStr">
        <is>
          <t>Interval</t>
        </is>
      </c>
      <c r="K3" s="9" t="inlineStr">
        <is>
          <t>Moves</t>
        </is>
      </c>
    </row>
    <row r="4">
      <c r="A4" s="15" t="inlineStr">
        <is>
          <t>Los Angeles-Long Beach-Anaheim, CA</t>
        </is>
      </c>
      <c r="B4" s="12" t="n">
        <v>4583939</v>
      </c>
      <c r="C4" s="4" t="n">
        <v>984120.9913</v>
      </c>
      <c r="D4" s="4" t="n">
        <v>96405</v>
      </c>
      <c r="E4" s="8" t="n">
        <v>0.7129569775</v>
      </c>
      <c r="F4" s="8" t="n">
        <v>0.7035244043</v>
      </c>
      <c r="G4" s="8" t="n">
        <v>0.7221508831</v>
      </c>
      <c r="H4" s="12" t="n">
        <v>7</v>
      </c>
      <c r="I4" s="12" t="n">
        <v>2</v>
      </c>
      <c r="J4" s="15" t="inlineStr">
        <is>
          <t>1 to 4</t>
        </is>
      </c>
      <c r="K4" s="15" t="inlineStr">
        <is>
          <t>yes</t>
        </is>
      </c>
    </row>
    <row r="5">
      <c r="A5" s="15" t="inlineStr">
        <is>
          <t>San Diego-Chula Vista-Carlsbad, CA</t>
        </is>
      </c>
      <c r="B5" s="12" t="n">
        <v>1185092</v>
      </c>
      <c r="C5" s="4" t="n">
        <v>985574.5412</v>
      </c>
      <c r="D5" s="4" t="n">
        <v>109132</v>
      </c>
      <c r="E5" s="8" t="n">
        <v>0.630741998</v>
      </c>
      <c r="F5" s="8" t="n">
        <v>0.6174357748</v>
      </c>
      <c r="G5" s="8" t="n">
        <v>0.6450765689</v>
      </c>
      <c r="H5" s="12" t="n">
        <v>6</v>
      </c>
      <c r="I5" s="12" t="n">
        <v>8</v>
      </c>
      <c r="J5" s="15" t="inlineStr">
        <is>
          <t>6 to 10</t>
        </is>
      </c>
      <c r="K5" s="15" t="inlineStr">
        <is>
          <t>no</t>
        </is>
      </c>
    </row>
    <row r="6">
      <c r="A6" s="15" t="inlineStr">
        <is>
          <t>San Francisco-Oakland-Fremont, CA</t>
        </is>
      </c>
      <c r="B6" s="12" t="n">
        <v>1770425</v>
      </c>
      <c r="C6" s="4" t="n">
        <v>1161939.116</v>
      </c>
      <c r="D6" s="4" t="n">
        <v>135590</v>
      </c>
      <c r="E6" s="8" t="n">
        <v>0.5985081913</v>
      </c>
      <c r="F6" s="8" t="n">
        <v>0.5855571495</v>
      </c>
      <c r="G6" s="8" t="n">
        <v>0.6116846755000001</v>
      </c>
      <c r="H6" s="12" t="n">
        <v>2</v>
      </c>
      <c r="I6" s="12" t="n">
        <v>10</v>
      </c>
      <c r="J6" s="15" t="inlineStr">
        <is>
          <t>10 to 12</t>
        </is>
      </c>
      <c r="K6" s="15" t="inlineStr">
        <is>
          <t>yes</t>
        </is>
      </c>
    </row>
    <row r="7">
      <c r="A7" s="15" t="inlineStr">
        <is>
          <t>New York-Newark-Jersey City, NY-NJ</t>
        </is>
      </c>
      <c r="B7" s="12" t="n">
        <v>7486828</v>
      </c>
      <c r="C7" s="4" t="n">
        <v>709339.0539000001</v>
      </c>
      <c r="D7" s="4" t="n">
        <v>99852</v>
      </c>
      <c r="E7" s="8" t="n">
        <v>0.4961482805</v>
      </c>
      <c r="F7" s="8" t="n">
        <v>0.4909420568</v>
      </c>
      <c r="G7" s="8" t="n">
        <v>0.5015094996</v>
      </c>
      <c r="H7" s="12" t="n">
        <v>18</v>
      </c>
      <c r="I7" s="12" t="n">
        <v>21</v>
      </c>
      <c r="J7" s="15" t="inlineStr">
        <is>
          <t>18 to 24</t>
        </is>
      </c>
      <c r="K7" s="15" t="inlineStr">
        <is>
          <t>no</t>
        </is>
      </c>
    </row>
    <row r="8">
      <c r="A8" s="15" t="inlineStr">
        <is>
          <t>Miami-Fort Lauderdale-West Palm Beach, FL</t>
        </is>
      </c>
      <c r="B8" s="12" t="n">
        <v>2382154</v>
      </c>
      <c r="C8" s="4" t="n">
        <v>570253.5195000001</v>
      </c>
      <c r="D8" s="4" t="n">
        <v>80625</v>
      </c>
      <c r="E8" s="8" t="n">
        <v>0.4939837174</v>
      </c>
      <c r="F8" s="8" t="n">
        <v>0.4861818737</v>
      </c>
      <c r="G8" s="8" t="n">
        <v>0.502045592</v>
      </c>
      <c r="H8" s="12" t="n">
        <v>33</v>
      </c>
      <c r="I8" s="12" t="n">
        <v>22</v>
      </c>
      <c r="J8" s="15" t="inlineStr">
        <is>
          <t>18 to 25</t>
        </is>
      </c>
      <c r="K8" s="15" t="inlineStr">
        <is>
          <t>yes</t>
        </is>
      </c>
    </row>
    <row r="9">
      <c r="A9" s="15" t="inlineStr">
        <is>
          <t>Seattle-Tacoma-Bellevue, WA</t>
        </is>
      </c>
      <c r="B9" s="12" t="n">
        <v>1658652</v>
      </c>
      <c r="C9" s="4" t="n">
        <v>747400.4195</v>
      </c>
      <c r="D9" s="4" t="n">
        <v>112388</v>
      </c>
      <c r="E9" s="8" t="n">
        <v>0.4644594267</v>
      </c>
      <c r="F9" s="8" t="n">
        <v>0.4515723447</v>
      </c>
      <c r="G9" s="8" t="n">
        <v>0.4775982919</v>
      </c>
      <c r="H9" s="12" t="n">
        <v>15</v>
      </c>
      <c r="I9" s="12" t="n">
        <v>27</v>
      </c>
      <c r="J9" s="15" t="inlineStr">
        <is>
          <t>24 to 33</t>
        </is>
      </c>
      <c r="K9" s="15" t="inlineStr">
        <is>
          <t>yes</t>
        </is>
      </c>
    </row>
    <row r="10">
      <c r="A10" s="15" t="inlineStr">
        <is>
          <t>Riverside-San Bernardino-Ontario, CA</t>
        </is>
      </c>
      <c r="B10" s="12" t="n">
        <v>1484661</v>
      </c>
      <c r="C10" s="4" t="n">
        <v>601160.9231</v>
      </c>
      <c r="D10" s="4" t="n">
        <v>91013</v>
      </c>
      <c r="E10" s="8" t="n">
        <v>0.4613193803</v>
      </c>
      <c r="F10" s="8" t="n">
        <v>0.4539911418</v>
      </c>
      <c r="G10" s="8" t="n">
        <v>0.4687000393</v>
      </c>
      <c r="H10" s="12" t="n">
        <v>29</v>
      </c>
      <c r="I10" s="12" t="n">
        <v>28</v>
      </c>
      <c r="J10" s="15" t="inlineStr">
        <is>
          <t>25 to 33</t>
        </is>
      </c>
      <c r="K10" s="15" t="inlineStr">
        <is>
          <t>no</t>
        </is>
      </c>
    </row>
    <row r="11">
      <c r="A11" s="15" t="inlineStr">
        <is>
          <t>Boston-Cambridge-Newton, MA-NH</t>
        </is>
      </c>
      <c r="B11" s="12" t="n">
        <v>1970240</v>
      </c>
      <c r="C11" s="4" t="n">
        <v>724836.1905</v>
      </c>
      <c r="D11" s="4" t="n">
        <v>117825</v>
      </c>
      <c r="E11" s="8" t="n">
        <v>0.4296519706</v>
      </c>
      <c r="F11" s="8" t="n">
        <v>0.4190949769</v>
      </c>
      <c r="G11" s="8" t="n">
        <v>0.4406505983</v>
      </c>
      <c r="H11" s="12" t="n">
        <v>16</v>
      </c>
      <c r="I11" s="12" t="n">
        <v>41</v>
      </c>
      <c r="J11" s="15" t="inlineStr">
        <is>
          <t>35 to 47</t>
        </is>
      </c>
      <c r="K11" s="15" t="inlineStr">
        <is>
          <t>yes</t>
        </is>
      </c>
    </row>
    <row r="12">
      <c r="A12" s="15" t="inlineStr">
        <is>
          <t>Denver-Aurora-Centennial, CO</t>
        </is>
      </c>
      <c r="B12" s="12" t="n">
        <v>1265606</v>
      </c>
      <c r="C12" s="4" t="n">
        <v>625143.6319</v>
      </c>
      <c r="D12" s="4" t="n">
        <v>108046</v>
      </c>
      <c r="E12" s="8" t="n">
        <v>0.4040968876</v>
      </c>
      <c r="F12" s="8" t="n">
        <v>0.3943182276</v>
      </c>
      <c r="G12" s="8" t="n">
        <v>0.4143161877</v>
      </c>
      <c r="H12" s="12" t="n">
        <v>23</v>
      </c>
      <c r="I12" s="12" t="n">
        <v>52</v>
      </c>
      <c r="J12" s="15" t="inlineStr">
        <is>
          <t>47 to 61</t>
        </is>
      </c>
      <c r="K12" s="15" t="inlineStr">
        <is>
          <t>yes</t>
        </is>
      </c>
    </row>
    <row r="13">
      <c r="A13" s="15" t="inlineStr">
        <is>
          <t>Phoenix-Mesa-Chandler, AZ</t>
        </is>
      </c>
      <c r="B13" s="12" t="n">
        <v>1967378</v>
      </c>
      <c r="C13" s="4" t="n">
        <v>482838.5939</v>
      </c>
      <c r="D13" s="4" t="n">
        <v>90133</v>
      </c>
      <c r="E13" s="8" t="n">
        <v>0.3741386177</v>
      </c>
      <c r="F13" s="8" t="n">
        <v>0.3672660498</v>
      </c>
      <c r="G13" s="8" t="n">
        <v>0.3811456723</v>
      </c>
      <c r="H13" s="12" t="n">
        <v>58</v>
      </c>
      <c r="I13" s="12" t="n">
        <v>70</v>
      </c>
      <c r="J13" s="15" t="inlineStr">
        <is>
          <t>65 to 80</t>
        </is>
      </c>
      <c r="K13" s="15" t="inlineStr">
        <is>
          <t>yes</t>
        </is>
      </c>
    </row>
    <row r="14">
      <c r="A14" s="15" t="inlineStr">
        <is>
          <t>Tampa-St. Petersburg-Clearwater, FL</t>
        </is>
      </c>
      <c r="B14" s="12" t="n">
        <v>1377328</v>
      </c>
      <c r="C14" s="4" t="n">
        <v>400906.5157</v>
      </c>
      <c r="D14" s="4" t="n">
        <v>78275</v>
      </c>
      <c r="E14" s="8" t="n">
        <v>0.3577127546</v>
      </c>
      <c r="F14" s="8" t="n">
        <v>0.3470260976</v>
      </c>
      <c r="G14" s="8" t="n">
        <v>0.369074638</v>
      </c>
      <c r="H14" s="12" t="n">
        <v>106</v>
      </c>
      <c r="I14" s="12" t="n">
        <v>90</v>
      </c>
      <c r="J14" s="15" t="inlineStr">
        <is>
          <t>76 to 100</t>
        </is>
      </c>
      <c r="K14" s="15" t="inlineStr">
        <is>
          <t>yes</t>
        </is>
      </c>
    </row>
    <row r="15">
      <c r="A15" s="15" t="inlineStr">
        <is>
          <t>Washington-Arlington-Alexandria, DC-VA-MD-WV</t>
        </is>
      </c>
      <c r="B15" s="12" t="n">
        <v>2415530</v>
      </c>
      <c r="C15" s="4" t="n">
        <v>619214.4939</v>
      </c>
      <c r="D15" s="4" t="n">
        <v>126244</v>
      </c>
      <c r="E15" s="8" t="n">
        <v>0.3425663923</v>
      </c>
      <c r="F15" s="8" t="n">
        <v>0.3372531407</v>
      </c>
      <c r="G15" s="8" t="n">
        <v>0.3479804193</v>
      </c>
      <c r="H15" s="12" t="n">
        <v>25</v>
      </c>
      <c r="I15" s="12" t="n">
        <v>102</v>
      </c>
      <c r="J15" s="15" t="inlineStr">
        <is>
          <t>96 to 113</t>
        </is>
      </c>
      <c r="K15" s="15" t="inlineStr">
        <is>
          <t>yes</t>
        </is>
      </c>
    </row>
    <row r="16">
      <c r="A16" s="15" t="inlineStr">
        <is>
          <t>Atlanta-Sandy Springs-Roswell, GA</t>
        </is>
      </c>
      <c r="B16" s="12" t="n">
        <v>2390346</v>
      </c>
      <c r="C16" s="4" t="n">
        <v>409790.3306</v>
      </c>
      <c r="D16" s="4" t="n">
        <v>92344</v>
      </c>
      <c r="E16" s="8" t="n">
        <v>0.3099327082</v>
      </c>
      <c r="F16" s="8" t="n">
        <v>0.3049825609</v>
      </c>
      <c r="G16" s="8" t="n">
        <v>0.3151030901</v>
      </c>
      <c r="H16" s="12" t="n">
        <v>96</v>
      </c>
      <c r="I16" s="12" t="n">
        <v>147</v>
      </c>
      <c r="J16" s="15" t="inlineStr">
        <is>
          <t>139 to 157</t>
        </is>
      </c>
      <c r="K16" s="15" t="inlineStr">
        <is>
          <t>yes</t>
        </is>
      </c>
    </row>
    <row r="17">
      <c r="A17" s="15" t="inlineStr">
        <is>
          <t>Philadelphia-Camden-Wilmington, PA-NJ-DE-MD</t>
        </is>
      </c>
      <c r="B17" s="12" t="n">
        <v>2505818</v>
      </c>
      <c r="C17" s="4" t="n">
        <v>402522.7903</v>
      </c>
      <c r="D17" s="4" t="n">
        <v>90850</v>
      </c>
      <c r="E17" s="8" t="n">
        <v>0.309442478</v>
      </c>
      <c r="F17" s="8" t="n">
        <v>0.3040346536</v>
      </c>
      <c r="G17" s="8" t="n">
        <v>0.3147898503</v>
      </c>
      <c r="H17" s="12" t="n">
        <v>104</v>
      </c>
      <c r="I17" s="12" t="n">
        <v>149</v>
      </c>
      <c r="J17" s="15" t="inlineStr">
        <is>
          <t>139 to 159</t>
        </is>
      </c>
      <c r="K17" s="15" t="inlineStr">
        <is>
          <t>yes</t>
        </is>
      </c>
    </row>
    <row r="18">
      <c r="A18" s="15" t="inlineStr">
        <is>
          <t>Dallas-Fort Worth-Arlington, TX</t>
        </is>
      </c>
      <c r="B18" s="12" t="n">
        <v>3012855</v>
      </c>
      <c r="C18" s="4" t="n">
        <v>393023.658</v>
      </c>
      <c r="D18" s="4" t="n">
        <v>92733</v>
      </c>
      <c r="E18" s="8" t="n">
        <v>0.2960048118</v>
      </c>
      <c r="F18" s="8" t="n">
        <v>0.2900617447</v>
      </c>
      <c r="G18" s="8" t="n">
        <v>0.3021461606</v>
      </c>
      <c r="H18" s="12" t="n">
        <v>113</v>
      </c>
      <c r="I18" s="12" t="n">
        <v>172</v>
      </c>
      <c r="J18" s="15" t="inlineStr">
        <is>
          <t>158 to 180</t>
        </is>
      </c>
      <c r="K18" s="15" t="inlineStr">
        <is>
          <t>yes</t>
        </is>
      </c>
    </row>
    <row r="19">
      <c r="A19" s="15" t="inlineStr">
        <is>
          <t>Chicago-Naperville-Elgin, IL-IN</t>
        </is>
      </c>
      <c r="B19" s="12" t="n">
        <v>3690402</v>
      </c>
      <c r="C19" s="4" t="n">
        <v>365616.7833</v>
      </c>
      <c r="D19" s="4" t="n">
        <v>90770</v>
      </c>
      <c r="E19" s="8" t="n">
        <v>0.2813184237</v>
      </c>
      <c r="F19" s="8" t="n">
        <v>0.2773047009</v>
      </c>
      <c r="G19" s="8" t="n">
        <v>0.2853793985</v>
      </c>
      <c r="H19" s="12" t="n">
        <v>131</v>
      </c>
      <c r="I19" s="12" t="n">
        <v>191</v>
      </c>
      <c r="J19" s="15" t="inlineStr">
        <is>
          <t>184 to 205</t>
        </is>
      </c>
      <c r="K19" s="15" t="inlineStr">
        <is>
          <t>yes</t>
        </is>
      </c>
    </row>
    <row r="20">
      <c r="A20" s="15" t="inlineStr">
        <is>
          <t>Minneapolis-St. Paul-Bloomington, MN-WI</t>
        </is>
      </c>
      <c r="B20" s="12" t="n">
        <v>1508526</v>
      </c>
      <c r="C20" s="4" t="n">
        <v>391204.1301</v>
      </c>
      <c r="D20" s="4" t="n">
        <v>97928</v>
      </c>
      <c r="E20" s="8" t="n">
        <v>0.2790043237</v>
      </c>
      <c r="F20" s="8" t="n">
        <v>0.2732328971</v>
      </c>
      <c r="G20" s="8" t="n">
        <v>0.2851076984</v>
      </c>
      <c r="H20" s="12" t="n">
        <v>114</v>
      </c>
      <c r="I20" s="12" t="n">
        <v>195</v>
      </c>
      <c r="J20" s="15" t="inlineStr">
        <is>
          <t>185 to 213</t>
        </is>
      </c>
      <c r="K20" s="15" t="inlineStr">
        <is>
          <t>yes</t>
        </is>
      </c>
    </row>
    <row r="21">
      <c r="A21" s="15" t="inlineStr">
        <is>
          <t>Houston-Pasadena-The Woodlands, TX</t>
        </is>
      </c>
      <c r="B21" s="12" t="n">
        <v>2768708</v>
      </c>
      <c r="C21" s="4" t="n">
        <v>313176.6913</v>
      </c>
      <c r="D21" s="4" t="n">
        <v>81417</v>
      </c>
      <c r="E21" s="8" t="n">
        <v>0.2686511618</v>
      </c>
      <c r="F21" s="8" t="n">
        <v>0.2639719685</v>
      </c>
      <c r="G21" s="8" t="n">
        <v>0.2733673438</v>
      </c>
      <c r="H21" s="12" t="n">
        <v>174</v>
      </c>
      <c r="I21" s="12" t="n">
        <v>216</v>
      </c>
      <c r="J21" s="15" t="inlineStr">
        <is>
          <t>209 to 232</t>
        </is>
      </c>
      <c r="K21" s="15" t="inlineStr">
        <is>
          <t>yes</t>
        </is>
      </c>
    </row>
    <row r="22">
      <c r="A22" s="15" t="inlineStr">
        <is>
          <t>Detroit-Warren-Dearborn, MI</t>
        </is>
      </c>
      <c r="B22" s="12" t="n">
        <v>1777768</v>
      </c>
      <c r="C22" s="4" t="n">
        <v>284812.204</v>
      </c>
      <c r="D22" s="4" t="n">
        <v>76403</v>
      </c>
      <c r="E22" s="8" t="n">
        <v>0.2603529903</v>
      </c>
      <c r="F22" s="8" t="n">
        <v>0.2551857661</v>
      </c>
      <c r="G22" s="8" t="n">
        <v>0.2658017373</v>
      </c>
      <c r="H22" s="12" t="n">
        <v>204</v>
      </c>
      <c r="I22" s="12" t="n">
        <v>238</v>
      </c>
      <c r="J22" s="15" t="inlineStr">
        <is>
          <t>225 to 253</t>
        </is>
      </c>
      <c r="K22" s="15" t="inlineStr">
        <is>
          <t>yes</t>
        </is>
      </c>
    </row>
    <row r="23">
      <c r="A23" s="15" t="inlineStr">
        <is>
          <t>St. Louis, MO-IL</t>
        </is>
      </c>
      <c r="B23" s="12" t="n">
        <v>1178246</v>
      </c>
      <c r="C23" s="4" t="n">
        <v>271171.9517</v>
      </c>
      <c r="D23" s="4" t="n">
        <v>81679</v>
      </c>
      <c r="E23" s="8" t="n">
        <v>0.2318722318</v>
      </c>
      <c r="F23" s="8" t="n">
        <v>0.2258437999</v>
      </c>
      <c r="G23" s="8" t="n">
        <v>0.2382063453</v>
      </c>
      <c r="H23" s="12" t="n">
        <v>223</v>
      </c>
      <c r="I23" s="12" t="n">
        <v>307</v>
      </c>
      <c r="J23" s="15" t="inlineStr">
        <is>
          <t>289 to 318</t>
        </is>
      </c>
      <c r="K23" s="15" t="inlineStr">
        <is>
          <t>yes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ch6.by_year: Source: the HMDA extract beside the census incomes, model: the block bootstrap, every purchase loan on a principal residence in the extract, 2018 to 2025 (2,722,577 loans from 4,341 lenders in 2025), as of 2026-10-23.</t>
        </is>
      </c>
    </row>
    <row r="3">
      <c r="A3" s="9" t="inlineStr">
        <is>
          <t>Year</t>
        </is>
      </c>
      <c r="B3" s="9" t="inlineStr">
        <is>
          <t>Loans</t>
        </is>
      </c>
      <c r="C3" s="9" t="inlineStr">
        <is>
          <t>Lenders</t>
        </is>
      </c>
      <c r="D3" s="9" t="inlineStr">
        <is>
          <t>Income ratio</t>
        </is>
      </c>
      <c r="E3" s="9" t="inlineStr">
        <is>
          <t>Low</t>
        </is>
      </c>
      <c r="F3" s="9" t="inlineStr">
        <is>
          <t>High</t>
        </is>
      </c>
      <c r="G3" s="9" t="inlineStr">
        <is>
          <t>Under 35</t>
        </is>
      </c>
      <c r="H3" s="9" t="inlineStr">
        <is>
          <t>Above twice the median</t>
        </is>
      </c>
      <c r="I3" s="9" t="inlineStr">
        <is>
          <t>Value to income</t>
        </is>
      </c>
      <c r="J3" s="9" t="inlineStr">
        <is>
          <t>Spread p50</t>
        </is>
      </c>
    </row>
    <row r="4">
      <c r="A4" t="n">
        <v>2018</v>
      </c>
      <c r="B4" s="12" t="n">
        <v>3389103</v>
      </c>
      <c r="C4" s="12" t="n">
        <v>5148</v>
      </c>
      <c r="D4" s="13" t="n">
        <v>1.280519037</v>
      </c>
      <c r="E4" s="13" t="n">
        <v>1.247798004</v>
      </c>
      <c r="F4" s="13" t="n">
        <v>1.315140662</v>
      </c>
      <c r="G4" s="8" t="n">
        <v>0.3836814638</v>
      </c>
      <c r="H4" s="8" t="n">
        <v>0.2272607236</v>
      </c>
      <c r="I4" s="13" t="n">
        <v>3.375</v>
      </c>
      <c r="J4" s="13" t="n">
        <v>0.4375</v>
      </c>
    </row>
    <row r="5">
      <c r="A5" t="n">
        <v>2019</v>
      </c>
      <c r="B5" s="12" t="n">
        <v>3533474</v>
      </c>
      <c r="C5" s="12" t="n">
        <v>5029</v>
      </c>
      <c r="D5" s="13" t="n">
        <v>1.232967436</v>
      </c>
      <c r="E5" s="13" t="n">
        <v>1.204387677</v>
      </c>
      <c r="F5" s="13" t="n">
        <v>1.266875764</v>
      </c>
      <c r="G5" s="8" t="n">
        <v>0.3827063677</v>
      </c>
      <c r="H5" s="8" t="n">
        <v>0.2088695148</v>
      </c>
      <c r="I5" s="13" t="n">
        <v>3.375</v>
      </c>
      <c r="J5" s="13" t="n">
        <v>0.4375</v>
      </c>
    </row>
    <row r="6">
      <c r="A6" t="n">
        <v>2020</v>
      </c>
      <c r="B6" s="12" t="n">
        <v>3861776</v>
      </c>
      <c r="C6" s="12" t="n">
        <v>4164</v>
      </c>
      <c r="D6" s="13" t="n">
        <v>1.244307953</v>
      </c>
      <c r="E6" s="13" t="n">
        <v>1.224640971</v>
      </c>
      <c r="F6" s="13" t="n">
        <v>1.280014153</v>
      </c>
      <c r="G6" s="8" t="n">
        <v>0.4070818711</v>
      </c>
      <c r="H6" s="8" t="n">
        <v>0.214112367</v>
      </c>
      <c r="I6" s="13" t="n">
        <v>3.625</v>
      </c>
      <c r="J6" s="13" t="n">
        <v>0.3125</v>
      </c>
    </row>
    <row r="7">
      <c r="A7" t="n">
        <v>2021</v>
      </c>
      <c r="B7" s="12" t="n">
        <v>4097757</v>
      </c>
      <c r="C7" s="12" t="n">
        <v>4075</v>
      </c>
      <c r="D7" s="13" t="n">
        <v>1.237011381</v>
      </c>
      <c r="E7" s="13" t="n">
        <v>1.217076447</v>
      </c>
      <c r="F7" s="13" t="n">
        <v>1.260654064</v>
      </c>
      <c r="G7" s="8" t="n">
        <v>0.3900992665</v>
      </c>
      <c r="H7" s="8" t="n">
        <v>0.2120240414</v>
      </c>
      <c r="I7" s="13" t="n">
        <v>3.875</v>
      </c>
      <c r="J7" s="13" t="n">
        <v>0.3125</v>
      </c>
    </row>
    <row r="8">
      <c r="A8" t="n">
        <v>2022</v>
      </c>
      <c r="B8" s="12" t="n">
        <v>3317262</v>
      </c>
      <c r="C8" s="12" t="n">
        <v>4160</v>
      </c>
      <c r="D8" s="13" t="n">
        <v>1.322231112</v>
      </c>
      <c r="E8" s="13" t="n">
        <v>1.29826214</v>
      </c>
      <c r="F8" s="13" t="n">
        <v>1.351826724</v>
      </c>
      <c r="G8" s="8" t="n">
        <v>0.3887796623</v>
      </c>
      <c r="H8" s="8" t="n">
        <v>0.2380873142</v>
      </c>
      <c r="I8" s="13" t="n">
        <v>3.625</v>
      </c>
      <c r="J8" s="13" t="n">
        <v>0.3125</v>
      </c>
    </row>
    <row r="9">
      <c r="A9" t="n">
        <v>2023</v>
      </c>
      <c r="B9" s="12" t="n">
        <v>2664039</v>
      </c>
      <c r="C9" s="12" t="n">
        <v>4605</v>
      </c>
      <c r="D9" s="13" t="n">
        <v>1.376979874</v>
      </c>
      <c r="E9" s="13" t="n">
        <v>1.349473418</v>
      </c>
      <c r="F9" s="13" t="n">
        <v>1.40231004</v>
      </c>
      <c r="G9" s="8" t="n">
        <v>0.3977100185</v>
      </c>
      <c r="H9" s="8" t="n">
        <v>0.2546242754</v>
      </c>
      <c r="I9" s="13" t="n">
        <v>3.375</v>
      </c>
      <c r="J9" s="13" t="n">
        <v>0.1875</v>
      </c>
    </row>
    <row r="10">
      <c r="A10" t="n">
        <v>2024</v>
      </c>
      <c r="B10" s="12" t="n">
        <v>2695601</v>
      </c>
      <c r="C10" s="12" t="n">
        <v>4433</v>
      </c>
      <c r="D10" s="13" t="n">
        <v>1.359102659</v>
      </c>
      <c r="E10" s="13" t="n">
        <v>1.334871728</v>
      </c>
      <c r="F10" s="13" t="n">
        <v>1.380554431</v>
      </c>
      <c r="G10" s="8" t="n">
        <v>0.3970472633</v>
      </c>
      <c r="H10" s="8" t="n">
        <v>0.2511272996</v>
      </c>
      <c r="I10" s="13" t="n">
        <v>3.375</v>
      </c>
      <c r="J10" s="13" t="n">
        <v>0.1875</v>
      </c>
    </row>
    <row r="11">
      <c r="A11" t="n">
        <v>2025</v>
      </c>
      <c r="B11" s="12" t="n">
        <v>2722577</v>
      </c>
      <c r="C11" s="12" t="n">
        <v>4341</v>
      </c>
      <c r="D11" s="13" t="n">
        <v>1.386181116</v>
      </c>
      <c r="E11" s="13" t="n">
        <v>1.36750605</v>
      </c>
      <c r="F11" s="13" t="n">
        <v>1.414576237</v>
      </c>
      <c r="G11" s="8" t="n">
        <v>0.3943840707</v>
      </c>
      <c r="H11" s="8" t="n">
        <v>0.2669849191</v>
      </c>
      <c r="I11" s="13" t="n">
        <v>3.375</v>
      </c>
      <c r="J11" s="13" t="n">
        <v>0.1875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3"/>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ch6.largest_metros: Source: the HMDA extract beside the census incomes, model: the block bootstrap, every purchase loan on a principal residence in the extract, 2018 to 2025 (2,722,577 loans from 4,341 lenders in 2025), as of 2026-10-23.</t>
        </is>
      </c>
    </row>
    <row r="3">
      <c r="A3" s="9" t="inlineStr">
        <is>
          <t>Metro</t>
        </is>
      </c>
      <c r="B3" s="9" t="inlineStr">
        <is>
          <t>Ratio 2019</t>
        </is>
      </c>
      <c r="C3" s="9" t="inlineStr">
        <is>
          <t>Ratio 2025</t>
        </is>
      </c>
      <c r="D3" s="9" t="inlineStr">
        <is>
          <t>Low</t>
        </is>
      </c>
      <c r="E3" s="9" t="inlineStr">
        <is>
          <t>High</t>
        </is>
      </c>
      <c r="F3" s="9" t="inlineStr">
        <is>
          <t>Change</t>
        </is>
      </c>
      <c r="G3" s="9" t="inlineStr">
        <is>
          <t>Under 35 2025</t>
        </is>
      </c>
    </row>
    <row r="4">
      <c r="A4" s="15" t="inlineStr">
        <is>
          <t>New York-Newark-Jersey City, NY-NJ</t>
        </is>
      </c>
      <c r="B4" s="13" t="n">
        <v>1.473063973</v>
      </c>
      <c r="C4" s="13" t="n">
        <v>1.777630894</v>
      </c>
      <c r="D4" s="13" t="n">
        <v>1.727556784</v>
      </c>
      <c r="E4" s="13" t="n">
        <v>1.877779113</v>
      </c>
      <c r="F4" s="20" t="n">
        <v>0.3045669207</v>
      </c>
      <c r="G4" s="8" t="n">
        <v>0.3639553802</v>
      </c>
    </row>
    <row r="5">
      <c r="A5" s="15" t="inlineStr">
        <is>
          <t>Dallas-Fort Worth-Arlington, TX</t>
        </is>
      </c>
      <c r="B5" s="13" t="n">
        <v>1.349200858</v>
      </c>
      <c r="C5" s="13" t="n">
        <v>1.374915079</v>
      </c>
      <c r="D5" s="13" t="n">
        <v>1.267078602</v>
      </c>
      <c r="E5" s="13" t="n">
        <v>1.482751556</v>
      </c>
      <c r="F5" s="20" t="n">
        <v>0.02571422082</v>
      </c>
      <c r="G5" s="8" t="n">
        <v>0.3834574588</v>
      </c>
    </row>
    <row r="6">
      <c r="A6" s="15" t="inlineStr">
        <is>
          <t>Chicago-Naperville-Elgin, IL-IN</t>
        </is>
      </c>
      <c r="B6" s="13" t="n">
        <v>1.160800754</v>
      </c>
      <c r="C6" s="13" t="n">
        <v>1.294480555</v>
      </c>
      <c r="D6" s="13" t="n">
        <v>1.239396276</v>
      </c>
      <c r="E6" s="13" t="n">
        <v>1.349564834</v>
      </c>
      <c r="F6" s="20" t="n">
        <v>0.1336798017</v>
      </c>
      <c r="G6" s="8" t="n">
        <v>0.4047144795</v>
      </c>
    </row>
    <row r="7">
      <c r="A7" s="15" t="inlineStr">
        <is>
          <t>Houston-Pasadena-The Woodlands, TX</t>
        </is>
      </c>
      <c r="B7" s="13" t="n">
        <v>1.336840432</v>
      </c>
      <c r="C7" s="13" t="n">
        <v>1.443187541</v>
      </c>
      <c r="D7" s="13" t="n">
        <v>1.381775305</v>
      </c>
      <c r="E7" s="13" t="n">
        <v>1.566012012</v>
      </c>
      <c r="F7" s="20" t="n">
        <v>0.1063471089</v>
      </c>
      <c r="G7" s="8" t="n">
        <v>0.3791258719</v>
      </c>
    </row>
    <row r="8">
      <c r="A8" s="15" t="inlineStr">
        <is>
          <t>Atlanta-Sandy Springs-Roswell, GA</t>
        </is>
      </c>
      <c r="B8" s="13" t="n">
        <v>1.149954002</v>
      </c>
      <c r="C8" s="13" t="n">
        <v>1.272416183</v>
      </c>
      <c r="D8" s="13" t="n">
        <v>1.218270813</v>
      </c>
      <c r="E8" s="13" t="n">
        <v>1.326561552</v>
      </c>
      <c r="F8" s="20" t="n">
        <v>0.1224621811</v>
      </c>
      <c r="G8" s="8" t="n">
        <v>0.3517105804</v>
      </c>
    </row>
    <row r="9">
      <c r="A9" s="15" t="inlineStr">
        <is>
          <t>Phoenix-Mesa-Chandler, AZ</t>
        </is>
      </c>
      <c r="B9" s="13" t="n">
        <v>1.141451632</v>
      </c>
      <c r="C9" s="13" t="n">
        <v>1.303629081</v>
      </c>
      <c r="D9" s="13" t="n">
        <v>1.248155504</v>
      </c>
      <c r="E9" s="13" t="n">
        <v>1.359102659</v>
      </c>
      <c r="F9" s="20" t="n">
        <v>0.1621774496</v>
      </c>
      <c r="G9" s="8" t="n">
        <v>0.3749258387</v>
      </c>
    </row>
    <row r="10">
      <c r="A10" s="15" t="inlineStr">
        <is>
          <t>Washington-Arlington-Alexandria, DC-VA-MD-WV</t>
        </is>
      </c>
      <c r="B10" s="13" t="n">
        <v>1.064746023</v>
      </c>
      <c r="C10" s="13" t="n">
        <v>1.247584044</v>
      </c>
      <c r="D10" s="13" t="n">
        <v>1.207978201</v>
      </c>
      <c r="E10" s="13" t="n">
        <v>1.287189886</v>
      </c>
      <c r="F10" s="20" t="n">
        <v>0.182838021</v>
      </c>
      <c r="G10" s="8" t="n">
        <v>0.3449407882</v>
      </c>
    </row>
    <row r="11">
      <c r="A11" s="15" t="inlineStr">
        <is>
          <t>Philadelphia-Camden-Wilmington, PA-NJ-DE-MD</t>
        </is>
      </c>
      <c r="B11" s="13" t="n">
        <v>1.173976628</v>
      </c>
      <c r="C11" s="13" t="n">
        <v>1.348376445</v>
      </c>
      <c r="D11" s="13" t="n">
        <v>1.293340671</v>
      </c>
      <c r="E11" s="13" t="n">
        <v>1.403412218</v>
      </c>
      <c r="F11" s="20" t="n">
        <v>0.1743998169</v>
      </c>
      <c r="G11" s="8" t="n">
        <v>0.4108691055</v>
      </c>
    </row>
    <row r="12">
      <c r="A12" s="15" t="inlineStr">
        <is>
          <t>Los Angeles-Long Beach-Anaheim, CA</t>
        </is>
      </c>
      <c r="B12" s="13" t="n">
        <v>1.767943014</v>
      </c>
      <c r="C12" s="13" t="n">
        <v>2.204242519</v>
      </c>
      <c r="D12" s="13" t="n">
        <v>2.100513459</v>
      </c>
      <c r="E12" s="13" t="n">
        <v>2.359836108</v>
      </c>
      <c r="F12" s="20" t="n">
        <v>0.4362995042</v>
      </c>
      <c r="G12" s="8" t="n">
        <v>0.3023374851</v>
      </c>
    </row>
    <row r="13">
      <c r="A13" s="15" t="inlineStr">
        <is>
          <t>Minneapolis-St. Paul-Bloomington, MN-WI</t>
        </is>
      </c>
      <c r="B13" s="13" t="n">
        <v>1.045425219</v>
      </c>
      <c r="C13" s="13" t="n">
        <v>1.148803202</v>
      </c>
      <c r="D13" s="13" t="n">
        <v>1.148803202</v>
      </c>
      <c r="E13" s="13" t="n">
        <v>1.199861122</v>
      </c>
      <c r="F13" s="20" t="n">
        <v>0.1033779831</v>
      </c>
      <c r="G13" s="8" t="n">
        <v>0.4367566067</v>
      </c>
    </row>
    <row r="14">
      <c r="A14" s="15" t="inlineStr">
        <is>
          <t>Detroit-Warren-Dearborn, MI</t>
        </is>
      </c>
      <c r="B14" s="13" t="n">
        <v>1.142199956</v>
      </c>
      <c r="C14" s="13" t="n">
        <v>1.276127901</v>
      </c>
      <c r="D14" s="13" t="n">
        <v>1.210685444</v>
      </c>
      <c r="E14" s="13" t="n">
        <v>1.341570357</v>
      </c>
      <c r="F14" s="20" t="n">
        <v>0.1339279448</v>
      </c>
      <c r="G14" s="8" t="n">
        <v>0.4433563701</v>
      </c>
    </row>
    <row r="15">
      <c r="A15" s="15" t="inlineStr">
        <is>
          <t>Miami-Fort Lauderdale-West Palm Beach, FL</t>
        </is>
      </c>
      <c r="B15" s="13" t="n">
        <v>1.454914285</v>
      </c>
      <c r="C15" s="13" t="n">
        <v>1.829457364</v>
      </c>
      <c r="D15" s="13" t="n">
        <v>1.705426357</v>
      </c>
      <c r="E15" s="13" t="n">
        <v>1.893023256</v>
      </c>
      <c r="F15" s="20" t="n">
        <v>0.3745430796</v>
      </c>
      <c r="G15" s="8" t="n">
        <v>0.2919749433</v>
      </c>
    </row>
    <row r="16">
      <c r="A16" s="15" t="inlineStr">
        <is>
          <t>Tampa-St. Petersburg-Clearwater, FL</t>
        </is>
      </c>
      <c r="B16" s="13" t="n">
        <v>1.338375989</v>
      </c>
      <c r="C16" s="13" t="n">
        <v>1.437240498</v>
      </c>
      <c r="D16" s="13" t="n">
        <v>1.373363143</v>
      </c>
      <c r="E16" s="13" t="n">
        <v>1.501117854</v>
      </c>
      <c r="F16" s="20" t="n">
        <v>0.09886450956999999</v>
      </c>
      <c r="G16" s="8" t="n">
        <v>0.3375913354</v>
      </c>
    </row>
    <row r="17">
      <c r="A17" s="15" t="inlineStr">
        <is>
          <t>Seattle-Tacoma-Bellevue, WA</t>
        </is>
      </c>
      <c r="B17" s="13" t="n">
        <v>1.249641061</v>
      </c>
      <c r="C17" s="13" t="n">
        <v>1.534861373</v>
      </c>
      <c r="D17" s="13" t="n">
        <v>1.445883902</v>
      </c>
      <c r="E17" s="13" t="n">
        <v>1.623838844</v>
      </c>
      <c r="F17" s="20" t="n">
        <v>0.2852203126</v>
      </c>
      <c r="G17" s="8" t="n">
        <v>0.3870096156</v>
      </c>
    </row>
    <row r="18">
      <c r="A18" s="15" t="inlineStr">
        <is>
          <t>Boston-Cambridge-Newton, MA-NH</t>
        </is>
      </c>
      <c r="B18" s="13" t="n">
        <v>1.297257228</v>
      </c>
      <c r="C18" s="13" t="n">
        <v>1.464035646</v>
      </c>
      <c r="D18" s="13" t="n">
        <v>1.379164014</v>
      </c>
      <c r="E18" s="13" t="n">
        <v>1.506471462</v>
      </c>
      <c r="F18" s="20" t="n">
        <v>0.1667784185</v>
      </c>
      <c r="G18" s="8" t="n">
        <v>0.3846548974</v>
      </c>
    </row>
    <row r="19">
      <c r="A19" s="15" t="inlineStr">
        <is>
          <t>Denver-Aurora-Centennial, CO</t>
        </is>
      </c>
      <c r="B19" s="13" t="n">
        <v>1.138473395</v>
      </c>
      <c r="C19" s="13" t="n">
        <v>1.318882698</v>
      </c>
      <c r="D19" s="13" t="n">
        <v>1.272606112</v>
      </c>
      <c r="E19" s="13" t="n">
        <v>1.365159284</v>
      </c>
      <c r="F19" s="20" t="n">
        <v>0.1804093034</v>
      </c>
      <c r="G19" s="8" t="n">
        <v>0.4078035308</v>
      </c>
    </row>
    <row r="20">
      <c r="A20" s="15" t="inlineStr">
        <is>
          <t>Charlotte-Concord-Gastonia, NC-SC</t>
        </is>
      </c>
      <c r="B20" s="13" t="n">
        <v>1.242488592</v>
      </c>
      <c r="C20" s="13" t="n">
        <v>1.425446252</v>
      </c>
      <c r="D20" s="13" t="n">
        <v>1.367264772</v>
      </c>
      <c r="E20" s="13" t="n">
        <v>1.483627732</v>
      </c>
      <c r="F20" s="20" t="n">
        <v>0.1829576603</v>
      </c>
      <c r="G20" s="8" t="n">
        <v>0.3815261044</v>
      </c>
    </row>
    <row r="21">
      <c r="A21" s="15" t="inlineStr">
        <is>
          <t>Riverside-San Bernardino-Ontario, CA</t>
        </is>
      </c>
      <c r="B21" s="13" t="n">
        <v>1.303661527</v>
      </c>
      <c r="C21" s="13" t="n">
        <v>1.565710393</v>
      </c>
      <c r="D21" s="13" t="n">
        <v>1.510773186</v>
      </c>
      <c r="E21" s="13" t="n">
        <v>1.565710393</v>
      </c>
      <c r="F21" s="20" t="n">
        <v>0.2620488658</v>
      </c>
      <c r="G21" s="8" t="n">
        <v>0.3483398663</v>
      </c>
    </row>
    <row r="22">
      <c r="A22" s="15" t="inlineStr">
        <is>
          <t>San Antonio-New Braunfels, TX</t>
        </is>
      </c>
      <c r="B22" s="13" t="n">
        <v>1.323069521</v>
      </c>
      <c r="C22" s="13" t="n">
        <v>1.312218353</v>
      </c>
      <c r="D22" s="13" t="n">
        <v>1.18419705</v>
      </c>
      <c r="E22" s="13" t="n">
        <v>1.440239656</v>
      </c>
      <c r="F22" s="20" t="n">
        <v>-0.01085116816</v>
      </c>
      <c r="G22" s="8" t="n">
        <v>0.4025484623</v>
      </c>
    </row>
    <row r="23">
      <c r="A23" s="15" t="inlineStr">
        <is>
          <t>St. Louis, MO-IL</t>
        </is>
      </c>
      <c r="B23" s="13" t="n">
        <v>1.166869928</v>
      </c>
      <c r="C23" s="13" t="n">
        <v>1.193697278</v>
      </c>
      <c r="D23" s="13" t="n">
        <v>1.132482033</v>
      </c>
      <c r="E23" s="13" t="n">
        <v>1.254912523</v>
      </c>
      <c r="F23" s="20" t="n">
        <v>0.02682735049</v>
      </c>
      <c r="G23" s="8" t="n">
        <v>0.4406160271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ch7.regression: Source: population estimates beside the price index, model: the migration regression with its placebo, 385 metropolitan areas with migration over 2020 and 2021 and the index in both windows (85 states), as of 2026-10-23.</t>
        </is>
      </c>
    </row>
    <row r="3">
      <c r="A3" s="9" t="inlineStr">
        <is>
          <t>Window</t>
        </is>
      </c>
      <c r="B3" s="9" t="inlineStr">
        <is>
          <t>Growth per person per 100 residents of shock</t>
        </is>
      </c>
      <c r="C3" s="9" t="inlineStr">
        <is>
          <t>Low</t>
        </is>
      </c>
      <c r="D3" s="9" t="inlineStr">
        <is>
          <t>High</t>
        </is>
      </c>
      <c r="E3" s="9" t="inlineStr">
        <is>
          <t>p</t>
        </is>
      </c>
      <c r="F3" s="9" t="inlineStr">
        <is>
          <t>Clusters</t>
        </is>
      </c>
    </row>
    <row r="4">
      <c r="A4" s="15" t="inlineStr">
        <is>
          <t>2019Q4 to 2021Q4</t>
        </is>
      </c>
      <c r="B4" s="21" t="n">
        <v>0.01475893608</v>
      </c>
      <c r="C4" s="21" t="n">
        <v>0.004047904896</v>
      </c>
      <c r="D4" s="21" t="n">
        <v>0.02546996726</v>
      </c>
      <c r="E4" s="22" t="n">
        <v>0.00749979335</v>
      </c>
      <c r="F4" s="12" t="n">
        <v>85</v>
      </c>
    </row>
    <row r="5">
      <c r="A5" s="15" t="inlineStr">
        <is>
          <t>2016Q4 to 2018Q4 (placebo)</t>
        </is>
      </c>
      <c r="B5" s="21" t="n">
        <v>-0.007771974411</v>
      </c>
      <c r="C5" s="21" t="n">
        <v>-0.01351319552</v>
      </c>
      <c r="D5" s="21" t="n">
        <v>-0.002030753301</v>
      </c>
      <c r="E5" s="22" t="n">
        <v>0.008570373290000001</v>
      </c>
      <c r="F5" s="12" t="n">
        <v>85</v>
      </c>
    </row>
    <row r="6">
      <c r="A6" s="15" t="inlineStr">
        <is>
          <t>2019Q4 to 2021Q4 (level alone, no pre pandemic control)</t>
        </is>
      </c>
      <c r="B6" s="21" t="n">
        <v>0.02410037206</v>
      </c>
      <c r="C6" s="21" t="n">
        <v>0.01868512821</v>
      </c>
      <c r="D6" s="21" t="n">
        <v>0.02951561592</v>
      </c>
      <c r="E6" s="22" t="n">
        <v>1.188022094e-13</v>
      </c>
      <c r="F6" s="12" t="n">
        <v>85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ch7.synthetic_controls: Source: population estimates beside the price index, model: synthetic control with placebo inference, 385 metropolitan areas with migration over 2020 and 2021 and the index in both windows (85 states), as of 2026-10-23.</t>
        </is>
      </c>
    </row>
    <row r="3">
      <c r="A3" s="9" t="inlineStr">
        <is>
          <t>Metro</t>
        </is>
      </c>
      <c r="B3" s="9" t="inlineStr">
        <is>
          <t>Mean post gap</t>
        </is>
      </c>
      <c r="C3" s="9" t="inlineStr">
        <is>
          <t>Peak gap</t>
        </is>
      </c>
      <c r="D3" s="9" t="inlineStr">
        <is>
          <t>Peak quarter</t>
        </is>
      </c>
      <c r="E3" s="9" t="inlineStr">
        <is>
          <t>Latest gap</t>
        </is>
      </c>
      <c r="F3" s="9" t="inlineStr">
        <is>
          <t>Reversal since peak</t>
        </is>
      </c>
      <c r="G3" s="9" t="inlineStr">
        <is>
          <t>Permutation p</t>
        </is>
      </c>
      <c r="H3" s="9" t="inlineStr">
        <is>
          <t>Donors searched</t>
        </is>
      </c>
      <c r="I3" s="9" t="inlineStr">
        <is>
          <t>Top weights</t>
        </is>
      </c>
    </row>
    <row r="4">
      <c r="A4" s="15" t="inlineStr">
        <is>
          <t>Panama City-Panama City Beach, FL</t>
        </is>
      </c>
      <c r="B4" s="14" t="n">
        <v>0.007229700019</v>
      </c>
      <c r="C4" s="14" t="n">
        <v>0.09357337893999999</v>
      </c>
      <c r="D4" s="15" t="inlineStr">
        <is>
          <t>2023Q2</t>
        </is>
      </c>
      <c r="E4" s="14" t="n">
        <v>-0.01980600371</v>
      </c>
      <c r="F4" s="14" t="n">
        <v>0.1133793826</v>
      </c>
      <c r="G4" s="22" t="n">
        <v>0.829015544</v>
      </c>
      <c r="H4" s="12" t="n">
        <v>192</v>
      </c>
      <c r="I4" s="15" t="inlineStr">
        <is>
          <t>Boise City 0.31; Michigan City-La Porte 0.25; Monroe 0.18</t>
        </is>
      </c>
    </row>
    <row r="5">
      <c r="A5" s="15" t="inlineStr">
        <is>
          <t>Amherst Town-Northampton, MA</t>
        </is>
      </c>
      <c r="B5" s="14" t="n">
        <v>-0.01217181033</v>
      </c>
      <c r="C5" s="14" t="n">
        <v>0.01466821032</v>
      </c>
      <c r="D5" s="15" t="inlineStr">
        <is>
          <t>2024Q2</t>
        </is>
      </c>
      <c r="E5" s="14" t="n">
        <v>0.008690298839</v>
      </c>
      <c r="F5" s="14" t="n">
        <v>0.005977911485</v>
      </c>
      <c r="G5" s="22" t="n">
        <v>0.725388601</v>
      </c>
      <c r="H5" s="12" t="n">
        <v>192</v>
      </c>
      <c r="I5" s="15" t="inlineStr">
        <is>
          <t>Lebanon 0.27; Dover 0.18; Roanoke 0.14</t>
        </is>
      </c>
    </row>
    <row r="6">
      <c r="A6" s="15" t="inlineStr">
        <is>
          <t>Fairbanks-College, AK</t>
        </is>
      </c>
      <c r="B6" s="14" t="n">
        <v>-0.04690240485</v>
      </c>
      <c r="C6" s="14" t="n">
        <v>0.004542178696</v>
      </c>
      <c r="D6" s="15" t="inlineStr">
        <is>
          <t>2020Q3</t>
        </is>
      </c>
      <c r="E6" s="14" t="n">
        <v>-0.06036844345</v>
      </c>
      <c r="F6" s="14" t="n">
        <v>0.06491062215</v>
      </c>
      <c r="G6" s="22" t="n">
        <v>0.2538860104</v>
      </c>
      <c r="H6" s="12" t="n">
        <v>192</v>
      </c>
      <c r="I6" s="15" t="inlineStr">
        <is>
          <t>Hattiesburg 0.31; Victoria 0.30; Florence 0.20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3"/>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ch8.largest: Source: the FHFA index anchored to the census, with Freddie Mac rates, model: the rent or buy breakeven, every metropolitan area with an anchored value, a census income and rent in 2024 (382 metros; 382 with enough history for the breakeven), as of 2026-10-23.</t>
        </is>
      </c>
    </row>
    <row r="3">
      <c r="A3" s="9" t="inlineStr">
        <is>
          <t>Metro</t>
        </is>
      </c>
      <c r="B3" s="9" t="inlineStr">
        <is>
          <t>Median home</t>
        </is>
      </c>
      <c r="C3" s="9" t="inlineStr">
        <is>
          <t>Affordable price</t>
        </is>
      </c>
      <c r="D3" s="9" t="inlineStr">
        <is>
          <t>Can afford</t>
        </is>
      </c>
      <c r="E3" s="9" t="inlineStr">
        <is>
          <t>Affordable share</t>
        </is>
      </c>
      <c r="F3" s="9" t="inlineStr">
        <is>
          <t>Down payment years</t>
        </is>
      </c>
      <c r="G3" s="9" t="inlineStr">
        <is>
          <t>Breakeven</t>
        </is>
      </c>
      <c r="H3" s="9" t="inlineStr">
        <is>
          <t>Low</t>
        </is>
      </c>
      <c r="I3" s="9" t="inlineStr">
        <is>
          <t>High</t>
        </is>
      </c>
    </row>
    <row r="4">
      <c r="A4" s="15" t="inlineStr">
        <is>
          <t>Boston-Cambridge-Newton, MA-NH</t>
        </is>
      </c>
      <c r="B4" s="4" t="n">
        <v>724836.1905</v>
      </c>
      <c r="C4" s="4" t="n">
        <v>506109.2978</v>
      </c>
      <c r="D4" s="15" t="inlineStr">
        <is>
          <t>no</t>
        </is>
      </c>
      <c r="E4" s="16" t="n">
        <v>0.3439875786</v>
      </c>
      <c r="F4" s="23" t="n">
        <v>9.885388011</v>
      </c>
      <c r="G4" t="n">
        <v>21</v>
      </c>
      <c r="H4" t="n">
        <v>2</v>
      </c>
      <c r="I4" t="n">
        <v>31</v>
      </c>
    </row>
    <row r="5">
      <c r="A5" s="15" t="inlineStr">
        <is>
          <t>Chicago-Naperville-Elgin, IL-IN</t>
        </is>
      </c>
      <c r="B5" s="4" t="n">
        <v>365616.7833</v>
      </c>
      <c r="C5" s="4" t="n">
        <v>389896.3799</v>
      </c>
      <c r="D5" s="15" t="inlineStr">
        <is>
          <t>yes</t>
        </is>
      </c>
      <c r="E5" s="16" t="n">
        <v>0.5312490955</v>
      </c>
      <c r="F5" s="23" t="n">
        <v>6.517581748</v>
      </c>
      <c r="G5" t="n">
        <v>19.5</v>
      </c>
      <c r="H5" t="n">
        <v>2</v>
      </c>
      <c r="I5" t="n">
        <v>31</v>
      </c>
    </row>
    <row r="6">
      <c r="A6" s="15" t="inlineStr">
        <is>
          <t>San Francisco-Oakland-Fremont, CA</t>
        </is>
      </c>
      <c r="B6" s="4" t="n">
        <v>1161939.116</v>
      </c>
      <c r="C6" s="4" t="n">
        <v>582417.6507</v>
      </c>
      <c r="D6" s="15" t="inlineStr">
        <is>
          <t>no</t>
        </is>
      </c>
      <c r="E6" s="16" t="n">
        <v>0.1599933372</v>
      </c>
      <c r="F6" s="23" t="n">
        <v>12.37725018</v>
      </c>
      <c r="G6" t="n">
        <v>18</v>
      </c>
      <c r="H6" t="n">
        <v>1</v>
      </c>
      <c r="I6" t="n">
        <v>31</v>
      </c>
    </row>
    <row r="7">
      <c r="A7" s="15" t="inlineStr">
        <is>
          <t>Minneapolis-St. Paul-Bloomington, MN-WI</t>
        </is>
      </c>
      <c r="B7" s="4" t="n">
        <v>391204.1301</v>
      </c>
      <c r="C7" s="4" t="n">
        <v>420643.0835</v>
      </c>
      <c r="D7" s="15" t="inlineStr">
        <is>
          <t>yes</t>
        </is>
      </c>
      <c r="E7" s="16" t="n">
        <v>0.5369151997</v>
      </c>
      <c r="F7" s="23" t="n">
        <v>6.854812162</v>
      </c>
      <c r="G7" t="n">
        <v>18</v>
      </c>
      <c r="H7" t="n">
        <v>2</v>
      </c>
      <c r="I7" t="n">
        <v>31</v>
      </c>
    </row>
    <row r="8">
      <c r="A8" s="15" t="inlineStr">
        <is>
          <t>St. Louis, MO-IL</t>
        </is>
      </c>
      <c r="B8" s="4" t="n">
        <v>271171.9517</v>
      </c>
      <c r="C8" s="4" t="n">
        <v>350846.6059</v>
      </c>
      <c r="D8" s="15" t="inlineStr">
        <is>
          <t>yes</t>
        </is>
      </c>
      <c r="E8" s="16" t="n">
        <v>0.6123653693</v>
      </c>
      <c r="F8" s="23" t="n">
        <v>5.569584943</v>
      </c>
      <c r="G8" t="n">
        <v>17</v>
      </c>
      <c r="H8" t="n">
        <v>2</v>
      </c>
      <c r="I8" t="n">
        <v>31</v>
      </c>
    </row>
    <row r="9">
      <c r="A9" s="15" t="inlineStr">
        <is>
          <t>New York-Newark-Jersey City, NY-NJ</t>
        </is>
      </c>
      <c r="B9" s="4" t="n">
        <v>709339.0539000001</v>
      </c>
      <c r="C9" s="4" t="n">
        <v>428907.4951</v>
      </c>
      <c r="D9" s="15" t="inlineStr">
        <is>
          <t>no</t>
        </is>
      </c>
      <c r="E9" s="16" t="n">
        <v>0.2997529937</v>
      </c>
      <c r="F9" s="23" t="n">
        <v>10.58983703</v>
      </c>
      <c r="G9" t="n">
        <v>16</v>
      </c>
      <c r="H9" t="n">
        <v>2</v>
      </c>
      <c r="I9" t="n">
        <v>31</v>
      </c>
    </row>
    <row r="10">
      <c r="A10" s="15" t="inlineStr">
        <is>
          <t>Denver-Aurora-Centennial, CO</t>
        </is>
      </c>
      <c r="B10" s="4" t="n">
        <v>625143.6319</v>
      </c>
      <c r="C10" s="4" t="n">
        <v>464104.2664</v>
      </c>
      <c r="D10" s="15" t="inlineStr">
        <is>
          <t>no</t>
        </is>
      </c>
      <c r="E10" s="16" t="n">
        <v>0.3604528803</v>
      </c>
      <c r="F10" s="23" t="n">
        <v>8.620292772999999</v>
      </c>
      <c r="G10" t="n">
        <v>12</v>
      </c>
      <c r="H10" t="n">
        <v>2</v>
      </c>
      <c r="I10" t="n">
        <v>31</v>
      </c>
    </row>
    <row r="11">
      <c r="A11" s="15" t="inlineStr">
        <is>
          <t>Washington-Arlington-Alexandria, DC-VA-MD-WV</t>
        </is>
      </c>
      <c r="B11" s="4" t="n">
        <v>619214.4939</v>
      </c>
      <c r="C11" s="4" t="n">
        <v>542272.5414</v>
      </c>
      <c r="D11" s="15" t="inlineStr">
        <is>
          <t>no</t>
        </is>
      </c>
      <c r="E11" s="16" t="n">
        <v>0.4421378241</v>
      </c>
      <c r="F11" s="23" t="n">
        <v>7.635762127</v>
      </c>
      <c r="G11" t="n">
        <v>11</v>
      </c>
      <c r="H11" t="n">
        <v>1</v>
      </c>
      <c r="I11" t="n">
        <v>31</v>
      </c>
    </row>
    <row r="12">
      <c r="A12" s="15" t="inlineStr">
        <is>
          <t>Detroit-Warren-Dearborn, MI</t>
        </is>
      </c>
      <c r="B12" s="4" t="n">
        <v>284812.204</v>
      </c>
      <c r="C12" s="4" t="n">
        <v>328183.9056</v>
      </c>
      <c r="D12" s="15" t="inlineStr">
        <is>
          <t>yes</t>
        </is>
      </c>
      <c r="E12" s="16" t="n">
        <v>0.5591755447</v>
      </c>
      <c r="F12" s="23" t="n">
        <v>6.283638617</v>
      </c>
      <c r="G12" t="n">
        <v>11</v>
      </c>
      <c r="H12" t="n">
        <v>2</v>
      </c>
      <c r="I12" t="n">
        <v>31</v>
      </c>
    </row>
    <row r="13">
      <c r="A13" s="15" t="inlineStr">
        <is>
          <t>Houston-Pasadena-The Woodlands, TX</t>
        </is>
      </c>
      <c r="B13" s="4" t="n">
        <v>313176.6913</v>
      </c>
      <c r="C13" s="4" t="n">
        <v>349721.2026</v>
      </c>
      <c r="D13" s="15" t="inlineStr">
        <is>
          <t>yes</t>
        </is>
      </c>
      <c r="E13" s="16" t="n">
        <v>0.5515132502</v>
      </c>
      <c r="F13" s="23" t="n">
        <v>6.002543245</v>
      </c>
      <c r="G13" t="n">
        <v>8</v>
      </c>
      <c r="H13" t="n">
        <v>2</v>
      </c>
      <c r="I13" t="n">
        <v>24</v>
      </c>
    </row>
    <row r="14">
      <c r="A14" s="15" t="inlineStr">
        <is>
          <t>Philadelphia-Camden-Wilmington, PA-NJ-DE-MD</t>
        </is>
      </c>
      <c r="B14" s="4" t="n">
        <v>402522.7903</v>
      </c>
      <c r="C14" s="4" t="n">
        <v>390240.0145</v>
      </c>
      <c r="D14" s="15" t="inlineStr">
        <is>
          <t>no</t>
        </is>
      </c>
      <c r="E14" s="16" t="n">
        <v>0.4899320719</v>
      </c>
      <c r="F14" s="23" t="n">
        <v>7.347317519</v>
      </c>
      <c r="G14" t="n">
        <v>8</v>
      </c>
      <c r="H14" t="n">
        <v>1</v>
      </c>
      <c r="I14" t="n">
        <v>31</v>
      </c>
    </row>
    <row r="15">
      <c r="A15" s="15" t="inlineStr">
        <is>
          <t>San Diego-Chula Vista-Carlsbad, CA</t>
        </is>
      </c>
      <c r="B15" s="4" t="n">
        <v>985574.5412</v>
      </c>
      <c r="C15" s="4" t="n">
        <v>468769.1058</v>
      </c>
      <c r="D15" s="15" t="inlineStr">
        <is>
          <t>no</t>
        </is>
      </c>
      <c r="E15" s="16" t="n">
        <v>0.1625117004</v>
      </c>
      <c r="F15" s="23" t="n">
        <v>12.08982399</v>
      </c>
      <c r="G15" t="n">
        <v>7</v>
      </c>
      <c r="H15" t="n">
        <v>1</v>
      </c>
      <c r="I15" t="n">
        <v>31</v>
      </c>
    </row>
    <row r="16">
      <c r="A16" s="15" t="inlineStr">
        <is>
          <t>Los Angeles-Long Beach-Anaheim, CA</t>
        </is>
      </c>
      <c r="B16" s="4" t="n">
        <v>984120.9913</v>
      </c>
      <c r="C16" s="4" t="n">
        <v>414101.1403</v>
      </c>
      <c r="D16" s="15" t="inlineStr">
        <is>
          <t>no</t>
        </is>
      </c>
      <c r="E16" s="16" t="n">
        <v>0.1404791436</v>
      </c>
      <c r="F16" s="23" t="n">
        <v>13.6114437</v>
      </c>
      <c r="G16" t="n">
        <v>6.5</v>
      </c>
      <c r="H16" t="n">
        <v>1</v>
      </c>
      <c r="I16" t="n">
        <v>31</v>
      </c>
    </row>
    <row r="17">
      <c r="A17" s="15" t="inlineStr">
        <is>
          <t>Dallas-Fort Worth-Arlington, TX</t>
        </is>
      </c>
      <c r="B17" s="4" t="n">
        <v>393023.658</v>
      </c>
      <c r="C17" s="4" t="n">
        <v>398328.3133</v>
      </c>
      <c r="D17" s="15" t="inlineStr">
        <is>
          <t>yes</t>
        </is>
      </c>
      <c r="E17" s="16" t="n">
        <v>0.5110048172</v>
      </c>
      <c r="F17" s="23" t="n">
        <v>6.22148512</v>
      </c>
      <c r="G17" t="n">
        <v>6</v>
      </c>
      <c r="H17" t="n">
        <v>1</v>
      </c>
      <c r="I17" t="n">
        <v>31</v>
      </c>
    </row>
    <row r="18">
      <c r="A18" s="15" t="inlineStr">
        <is>
          <t>Atlanta-Sandy Springs-Roswell, GA</t>
        </is>
      </c>
      <c r="B18" s="4" t="n">
        <v>409790.3306</v>
      </c>
      <c r="C18" s="4" t="n">
        <v>396657.3902</v>
      </c>
      <c r="D18" s="15" t="inlineStr">
        <is>
          <t>no</t>
        </is>
      </c>
      <c r="E18" s="16" t="n">
        <v>0.4884693462</v>
      </c>
      <c r="F18" s="23" t="n">
        <v>6.643381276</v>
      </c>
      <c r="G18" t="n">
        <v>6</v>
      </c>
      <c r="H18" t="n">
        <v>1</v>
      </c>
      <c r="I18" t="n">
        <v>31</v>
      </c>
    </row>
    <row r="19">
      <c r="A19" s="15" t="inlineStr">
        <is>
          <t>Seattle-Tacoma-Bellevue, WA</t>
        </is>
      </c>
      <c r="B19" s="4" t="n">
        <v>747400.4195</v>
      </c>
      <c r="C19" s="4" t="n">
        <v>482755.033</v>
      </c>
      <c r="D19" s="15" t="inlineStr">
        <is>
          <t>no</t>
        </is>
      </c>
      <c r="E19" s="16" t="n">
        <v>0.3211079656</v>
      </c>
      <c r="F19" s="23" t="n">
        <v>9.377553851</v>
      </c>
      <c r="G19" t="n">
        <v>6</v>
      </c>
      <c r="H19" t="n">
        <v>1</v>
      </c>
      <c r="I19" t="n">
        <v>31</v>
      </c>
    </row>
    <row r="20">
      <c r="A20" s="15" t="inlineStr">
        <is>
          <t>Phoenix-Mesa-Chandler, AZ</t>
        </is>
      </c>
      <c r="B20" s="4" t="n">
        <v>482838.5939</v>
      </c>
      <c r="C20" s="4" t="n">
        <v>387160.1896</v>
      </c>
      <c r="D20" s="15" t="inlineStr">
        <is>
          <t>no</t>
        </is>
      </c>
      <c r="E20" s="16" t="n">
        <v>0.3921658627</v>
      </c>
      <c r="F20" s="23" t="n">
        <v>7.280217633</v>
      </c>
      <c r="G20" t="n">
        <v>4</v>
      </c>
      <c r="H20" t="n">
        <v>1</v>
      </c>
      <c r="I20" t="n">
        <v>31</v>
      </c>
    </row>
    <row r="21">
      <c r="A21" s="15" t="inlineStr">
        <is>
          <t>Miami-Fort Lauderdale-West Palm Beach, FL</t>
        </is>
      </c>
      <c r="B21" s="4" t="n">
        <v>570253.5195000001</v>
      </c>
      <c r="C21" s="4" t="n">
        <v>346319.2203</v>
      </c>
      <c r="D21" s="15" t="inlineStr">
        <is>
          <t>no</t>
        </is>
      </c>
      <c r="E21" s="16" t="n">
        <v>0.2778869887</v>
      </c>
      <c r="F21" s="23" t="n">
        <v>9.413230760999999</v>
      </c>
      <c r="G21" t="n">
        <v>3</v>
      </c>
      <c r="H21" t="n">
        <v>1</v>
      </c>
      <c r="I21" t="n">
        <v>31</v>
      </c>
    </row>
    <row r="22">
      <c r="A22" s="15" t="inlineStr">
        <is>
          <t>Riverside-San Bernardino-Ontario, CA</t>
        </is>
      </c>
      <c r="B22" s="4" t="n">
        <v>601160.9231</v>
      </c>
      <c r="C22" s="4" t="n">
        <v>390940.1699</v>
      </c>
      <c r="D22" s="15" t="inlineStr">
        <is>
          <t>no</t>
        </is>
      </c>
      <c r="E22" s="16" t="n">
        <v>0.2917253392</v>
      </c>
      <c r="F22" s="23" t="n">
        <v>9.429235716000001</v>
      </c>
      <c r="G22" t="n">
        <v>3</v>
      </c>
      <c r="H22" t="n">
        <v>1</v>
      </c>
      <c r="I22" t="n">
        <v>31</v>
      </c>
    </row>
    <row r="23">
      <c r="A23" s="15" t="inlineStr">
        <is>
          <t>Tampa-St. Petersburg-Clearwater, FL</t>
        </is>
      </c>
      <c r="B23" s="4" t="n">
        <v>400906.5157</v>
      </c>
      <c r="C23" s="4" t="n">
        <v>336224.9547</v>
      </c>
      <c r="D23" s="15" t="inlineStr">
        <is>
          <t>no</t>
        </is>
      </c>
      <c r="E23" s="16" t="n">
        <v>0.427883734</v>
      </c>
      <c r="F23" s="23" t="n">
        <v>7.163010162</v>
      </c>
      <c r="G23" t="n">
        <v>3</v>
      </c>
      <c r="H23" t="n">
        <v>1</v>
      </c>
      <c r="I23" t="n">
        <v>31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ch8.line_interior: Source: the FHFA index anchored to the census, with Freddie Mac rates, model: the payment at the quarterly rate, every metropolitan area with an anchored value, a census income and rent in 2024 (382 metros; 382 with enough history for the breakeven), as of 2026-10-23.</t>
        </is>
      </c>
    </row>
    <row r="3">
      <c r="A3" s="9" t="inlineStr">
        <is>
          <t>Line</t>
        </is>
      </c>
      <c r="B3" s="9" t="inlineStr">
        <is>
          <t>Metros where the median household can afford the median home</t>
        </is>
      </c>
      <c r="C3" s="9" t="inlineStr">
        <is>
          <t>Share</t>
        </is>
      </c>
      <c r="D3" s="9" t="inlineStr">
        <is>
          <t>Note</t>
        </is>
      </c>
    </row>
    <row r="4">
      <c r="A4" s="16" t="n">
        <v>0.25</v>
      </c>
      <c r="B4" s="12" t="n">
        <v>119</v>
      </c>
      <c r="C4" s="16" t="n">
        <v>0.3115183246</v>
      </c>
      <c r="D4" s="15" t="inlineStr"/>
    </row>
    <row r="5">
      <c r="A5" s="16" t="n">
        <v>0.28</v>
      </c>
      <c r="B5" s="12" t="n">
        <v>191</v>
      </c>
      <c r="C5" s="16" t="n">
        <v>0.5</v>
      </c>
      <c r="D5" s="15" t="inlineStr">
        <is>
          <t>degenerate</t>
        </is>
      </c>
    </row>
    <row r="6">
      <c r="A6" s="16" t="n">
        <v>0.3</v>
      </c>
      <c r="B6" s="12" t="n">
        <v>221</v>
      </c>
      <c r="C6" s="16" t="n">
        <v>0.5785340314</v>
      </c>
      <c r="D6" s="15" t="inlineStr">
        <is>
          <t>chosen</t>
        </is>
      </c>
    </row>
    <row r="7">
      <c r="A7" s="16" t="n">
        <v>0.35</v>
      </c>
      <c r="B7" s="12" t="n">
        <v>288</v>
      </c>
      <c r="C7" s="16" t="n">
        <v>0.7539267016</v>
      </c>
      <c r="D7" s="1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ch8.down_interior: Source: the FHFA index anchored to the census, with Freddie Mac rates, model: the rent or buy breakeven, every metropolitan area with an anchored value, a census income and rent in 2024 (382 metros; 382 with enough history for the breakeven), as of 2026-10-23.</t>
        </is>
      </c>
    </row>
    <row r="3">
      <c r="A3" s="9" t="inlineStr">
        <is>
          <t>Down payment</t>
        </is>
      </c>
      <c r="B3" s="9" t="inlineStr">
        <is>
          <t>Median breakeven</t>
        </is>
      </c>
      <c r="C3" s="9" t="inlineStr">
        <is>
          <t>Median down payment years</t>
        </is>
      </c>
      <c r="D3" s="9" t="inlineStr">
        <is>
          <t>Note</t>
        </is>
      </c>
    </row>
    <row r="4">
      <c r="A4" s="16" t="n">
        <v>0.05</v>
      </c>
      <c r="B4" t="n">
        <v>11</v>
      </c>
      <c r="C4" s="23" t="n">
        <v>3.19956654</v>
      </c>
      <c r="D4" s="15" t="inlineStr"/>
    </row>
    <row r="5">
      <c r="A5" s="16" t="n">
        <v>0.1</v>
      </c>
      <c r="B5" t="n">
        <v>9.5</v>
      </c>
      <c r="C5" s="23" t="n">
        <v>6.39913308</v>
      </c>
      <c r="D5" s="15" t="inlineStr">
        <is>
          <t>chosen</t>
        </is>
      </c>
    </row>
    <row r="6">
      <c r="A6" s="16" t="n">
        <v>0.2</v>
      </c>
      <c r="B6" t="n">
        <v>8</v>
      </c>
      <c r="C6" s="23" t="n">
        <v>12.79826616</v>
      </c>
      <c r="D6" s="1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c r="A1" s="1" t="inlineStr">
        <is>
          <t>ch8.saving_interior: Source: the FHFA index anchored to the census, with Freddie Mac rates, model: the payment at the quarterly rate, every metropolitan area with an anchored value, a census income and rent in 2024 (382 metros; 382 with enough history for the breakeven), as of 2026-10-23.</t>
        </is>
      </c>
    </row>
    <row r="3">
      <c r="A3" s="9" t="inlineStr">
        <is>
          <t>Saving rate</t>
        </is>
      </c>
      <c r="B3" s="9" t="inlineStr">
        <is>
          <t>Median down payment years</t>
        </is>
      </c>
      <c r="C3" s="9" t="inlineStr">
        <is>
          <t>Note</t>
        </is>
      </c>
    </row>
    <row r="4">
      <c r="A4" s="16" t="n">
        <v>0.05</v>
      </c>
      <c r="B4" s="23" t="n">
        <v>12.79826616</v>
      </c>
      <c r="C4" s="15" t="inlineStr"/>
    </row>
    <row r="5">
      <c r="A5" s="16" t="n">
        <v>0.1</v>
      </c>
      <c r="B5" s="23" t="n">
        <v>6.39913308</v>
      </c>
      <c r="C5" s="15" t="inlineStr">
        <is>
          <t>chosen</t>
        </is>
      </c>
    </row>
    <row r="6">
      <c r="A6" s="16" t="n">
        <v>0.15</v>
      </c>
      <c r="B6" s="23" t="n">
        <v>4.26608872</v>
      </c>
      <c r="C6" s="1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recovery.by_estimator: Source: the simulated metros with known truth, the recovery study, every condition and seed, 20 seeds, as of 2026-10-22.</t>
        </is>
      </c>
    </row>
    <row r="3">
      <c r="A3" s="9" t="inlineStr">
        <is>
          <t>Estimator</t>
        </is>
      </c>
      <c r="B3" s="9" t="inlineStr">
        <is>
          <t>Mean bias</t>
        </is>
      </c>
      <c r="C3" s="9" t="inlineStr">
        <is>
          <t>Mean RMSE</t>
        </is>
      </c>
      <c r="D3" s="9" t="inlineStr">
        <is>
          <t>Mean coverage</t>
        </is>
      </c>
      <c r="E3" s="9" t="inlineStr">
        <is>
          <t>Mean flag rate</t>
        </is>
      </c>
      <c r="F3" s="9" t="inlineStr">
        <is>
          <t>Worst bias under</t>
        </is>
      </c>
      <c r="G3" s="9" t="inlineStr">
        <is>
          <t>Lowest coverage</t>
        </is>
      </c>
      <c r="H3" s="9" t="inlineStr">
        <is>
          <t>Lowest coverage under</t>
        </is>
      </c>
    </row>
    <row r="4">
      <c r="A4" s="15" t="inlineStr">
        <is>
          <t>anchored_level</t>
        </is>
      </c>
      <c r="B4" s="19" t="n">
        <v>-0.001429702598</v>
      </c>
      <c r="C4" s="24" t="n">
        <v>0.01350537434</v>
      </c>
      <c r="D4" s="16" t="n"/>
      <c r="E4" s="16" t="n"/>
      <c r="F4" s="15" t="inlineStr">
        <is>
          <t>weak_demand/narrow_supply/none_reverse/high_noise</t>
        </is>
      </c>
      <c r="G4" s="16" t="n"/>
      <c r="H4" s="15" t="n"/>
    </row>
    <row r="5">
      <c r="A5" s="15" t="inlineStr">
        <is>
          <t>anchored_payment_share</t>
        </is>
      </c>
      <c r="B5" s="19" t="n">
        <v>-0.0001703444834</v>
      </c>
      <c r="C5" s="24" t="n">
        <v>0.003774224136</v>
      </c>
      <c r="D5" s="16" t="n">
        <v>0.4333333333</v>
      </c>
      <c r="E5" s="16" t="n"/>
      <c r="F5" s="15" t="inlineStr">
        <is>
          <t>weak_demand/narrow_supply/none_reverse/low_noise</t>
        </is>
      </c>
      <c r="G5" s="16" t="n">
        <v>0.35</v>
      </c>
      <c r="H5" s="15" t="inlineStr">
        <is>
          <t>weak_demand/narrow_supply/mild_reverse/high_noise</t>
        </is>
      </c>
    </row>
    <row r="6">
      <c r="A6" s="15" t="inlineStr">
        <is>
          <t>borrower_ratio_shift</t>
        </is>
      </c>
      <c r="B6" s="19" t="n">
        <v>-0.001079972899</v>
      </c>
      <c r="C6" s="24" t="n">
        <v>0.005765499968</v>
      </c>
      <c r="D6" s="16" t="n">
        <v>0.75625</v>
      </c>
      <c r="E6" s="16" t="n"/>
      <c r="F6" s="15" t="inlineStr">
        <is>
          <t>strong_demand/narrow_supply/strong_reverse/high_noise</t>
        </is>
      </c>
      <c r="G6" s="16" t="n">
        <v>0.55</v>
      </c>
      <c r="H6" s="15" t="inlineStr">
        <is>
          <t>weak_demand/wide_supply/mild_reverse/low_noise</t>
        </is>
      </c>
    </row>
    <row r="7">
      <c r="A7" s="15" t="inlineStr">
        <is>
          <t>bracket_interpolation</t>
        </is>
      </c>
      <c r="B7" s="19" t="n">
        <v>0.003703763945</v>
      </c>
      <c r="C7" s="24" t="n">
        <v>0.003902372615</v>
      </c>
      <c r="D7" s="16" t="n"/>
      <c r="E7" s="16" t="n"/>
      <c r="F7" s="15" t="inlineStr">
        <is>
          <t>weak_demand/narrow_supply/strong_reverse/high_noise</t>
        </is>
      </c>
      <c r="G7" s="16" t="n"/>
      <c r="H7" s="15" t="n"/>
    </row>
    <row r="8">
      <c r="A8" s="15" t="inlineStr">
        <is>
          <t>breakeven_horizon</t>
        </is>
      </c>
      <c r="B8" s="19" t="n">
        <v>4.416763117</v>
      </c>
      <c r="C8" s="24" t="n">
        <v>4.441535459</v>
      </c>
      <c r="D8" s="16" t="n"/>
      <c r="E8" s="16" t="n">
        <v>0.6977623457</v>
      </c>
      <c r="F8" s="15" t="inlineStr">
        <is>
          <t>weak_demand/narrow_supply/strong_reverse/low_noise</t>
        </is>
      </c>
      <c r="G8" s="16" t="n"/>
      <c r="H8" s="15" t="n"/>
    </row>
    <row r="9">
      <c r="A9" s="15" t="inlineStr">
        <is>
          <t>burden_changepoint</t>
        </is>
      </c>
      <c r="B9" s="19" t="n">
        <v>0.004166666667</v>
      </c>
      <c r="C9" s="24" t="n">
        <v>0.01863389981</v>
      </c>
      <c r="D9" s="16" t="n"/>
      <c r="E9" s="16" t="n">
        <v>1</v>
      </c>
      <c r="F9" s="15" t="inlineStr">
        <is>
          <t>strong_demand/narrow_supply/strong_reverse/low_noise</t>
        </is>
      </c>
      <c r="G9" s="16" t="n"/>
      <c r="H9" s="15" t="n"/>
    </row>
    <row r="10">
      <c r="A10" s="15" t="inlineStr">
        <is>
          <t>lock_in_did</t>
        </is>
      </c>
      <c r="B10" s="19" t="n">
        <v>0.001489173048</v>
      </c>
      <c r="C10" s="24" t="n">
        <v>0.005533991818</v>
      </c>
      <c r="D10" s="16" t="n">
        <v>0.9416666667</v>
      </c>
      <c r="E10" s="16" t="n">
        <v>0.85</v>
      </c>
      <c r="F10" s="15" t="inlineStr">
        <is>
          <t>weak_demand/narrow_supply/none_reverse/high_noise</t>
        </is>
      </c>
      <c r="G10" s="16" t="n">
        <v>0.85</v>
      </c>
      <c r="H10" s="15" t="inlineStr">
        <is>
          <t>weak_demand/narrow_supply/strong_reverse/high_noise</t>
        </is>
      </c>
    </row>
    <row r="11">
      <c r="A11" s="15" t="inlineStr">
        <is>
          <t>lock_in_placebo</t>
        </is>
      </c>
      <c r="B11" s="19" t="n">
        <v>-7.022244281e-05</v>
      </c>
      <c r="C11" s="24" t="n">
        <v>0.008653080467</v>
      </c>
      <c r="D11" s="16" t="n">
        <v>0.85</v>
      </c>
      <c r="E11" s="16" t="n"/>
      <c r="F11" s="15" t="inlineStr">
        <is>
          <t>strong_demand/narrow_supply/none_reverse/high_noise</t>
        </is>
      </c>
      <c r="G11" s="16" t="n">
        <v>0.8</v>
      </c>
      <c r="H11" s="15" t="inlineStr">
        <is>
          <t>strong_demand/narrow_supply/mild_reverse/high_noise</t>
        </is>
      </c>
    </row>
    <row r="12">
      <c r="A12" s="15" t="inlineStr">
        <is>
          <t>migration_effect</t>
        </is>
      </c>
      <c r="B12" s="19" t="n">
        <v>-0.0002313428835</v>
      </c>
      <c r="C12" s="24" t="n">
        <v>0.002673117058</v>
      </c>
      <c r="D12" s="16" t="n">
        <v>0.975</v>
      </c>
      <c r="E12" s="16" t="n">
        <v>0.1833333333</v>
      </c>
      <c r="F12" s="15" t="inlineStr">
        <is>
          <t>strong_demand/wide_supply/strong_reverse/low_noise</t>
        </is>
      </c>
      <c r="G12" s="16" t="n">
        <v>0.95</v>
      </c>
      <c r="H12" s="15" t="inlineStr">
        <is>
          <t>strong_demand/narrow_supply/none_reverse/low_noise</t>
        </is>
      </c>
    </row>
    <row r="13">
      <c r="A13" s="15" t="inlineStr">
        <is>
          <t>migration_naive</t>
        </is>
      </c>
      <c r="B13" s="19" t="n">
        <v>-0.003562545728</v>
      </c>
      <c r="C13" s="24" t="n">
        <v>0.004259004548</v>
      </c>
      <c r="D13" s="16" t="n">
        <v>0.6083333332999999</v>
      </c>
      <c r="E13" s="16" t="n"/>
      <c r="F13" s="15" t="inlineStr">
        <is>
          <t>strong_demand/wide_supply/strong_reverse/low_noise</t>
        </is>
      </c>
      <c r="G13" s="16" t="n">
        <v>0.05</v>
      </c>
      <c r="H13" s="15" t="inlineStr">
        <is>
          <t>strong_demand/narrow_supply/strong_reverse/low_noise</t>
        </is>
      </c>
    </row>
    <row r="14">
      <c r="A14" s="15" t="inlineStr">
        <is>
          <t>migration_placebo</t>
        </is>
      </c>
      <c r="B14" s="19" t="n">
        <v>-0.00268790715</v>
      </c>
      <c r="C14" s="24" t="n">
        <v>0.004274246277</v>
      </c>
      <c r="D14" s="16" t="n">
        <v>0.8166666667</v>
      </c>
      <c r="E14" s="16" t="n"/>
      <c r="F14" s="15" t="inlineStr">
        <is>
          <t>strong_demand/wide_supply/strong_reverse/high_noise</t>
        </is>
      </c>
      <c r="G14" s="16" t="n">
        <v>0.15</v>
      </c>
      <c r="H14" s="15" t="inlineStr">
        <is>
          <t>strong_demand/narrow_supply/strong_reverse/high_noise</t>
        </is>
      </c>
    </row>
    <row r="15">
      <c r="A15" s="15" t="inlineStr">
        <is>
          <t>ranking_adjusted</t>
        </is>
      </c>
      <c r="B15" s="19" t="n">
        <v>-0.04367019249</v>
      </c>
      <c r="C15" s="24" t="n">
        <v>0.04747848723</v>
      </c>
      <c r="D15" s="16" t="n"/>
      <c r="E15" s="16" t="n">
        <v>0.8896137475</v>
      </c>
      <c r="F15" s="15" t="inlineStr">
        <is>
          <t>strong_demand/narrow_supply/strong_reverse/low_noise</t>
        </is>
      </c>
      <c r="G15" s="16" t="n"/>
      <c r="H15" s="15" t="n"/>
    </row>
    <row r="16">
      <c r="A16" s="15" t="inlineStr">
        <is>
          <t>self_report_correction</t>
        </is>
      </c>
      <c r="B16" s="19" t="n">
        <v>-0.001510450617</v>
      </c>
      <c r="C16" s="24" t="n">
        <v>0.003356648954</v>
      </c>
      <c r="D16" s="16" t="n"/>
      <c r="E16" s="16" t="n">
        <v>0.01732116645</v>
      </c>
      <c r="F16" s="15" t="inlineStr">
        <is>
          <t>weak_demand/wide_supply/mild_reverse/low_noise</t>
        </is>
      </c>
      <c r="G16" s="16" t="n"/>
      <c r="H16" s="15" t="n"/>
    </row>
    <row r="17">
      <c r="A17" s="15" t="inlineStr">
        <is>
          <t>severe_share</t>
        </is>
      </c>
      <c r="B17" s="19" t="n">
        <v>-4.163336342e-18</v>
      </c>
      <c r="C17" s="24" t="n">
        <v>1.145960627e-16</v>
      </c>
      <c r="D17" s="16" t="n">
        <v>1</v>
      </c>
      <c r="E17" s="16" t="n"/>
      <c r="F17" s="15" t="inlineStr">
        <is>
          <t>strong_demand/narrow_supply/none_reverse/low_noise</t>
        </is>
      </c>
      <c r="G17" s="16" t="n">
        <v>1</v>
      </c>
      <c r="H17" s="15" t="inlineStr">
        <is>
          <t>strong_demand/narrow_supply/mild_reverse/high_noise</t>
        </is>
      </c>
    </row>
    <row r="18">
      <c r="A18" s="15" t="inlineStr">
        <is>
          <t>supply_controlled</t>
        </is>
      </c>
      <c r="B18" s="19" t="n">
        <v>0.002647646643</v>
      </c>
      <c r="C18" s="24" t="n">
        <v>0.004282434093</v>
      </c>
      <c r="D18" s="16" t="n">
        <v>0.8479166667</v>
      </c>
      <c r="E18" s="16" t="n"/>
      <c r="F18" s="15" t="inlineStr">
        <is>
          <t>strong_demand/narrow_supply/strong_reverse/high_noise</t>
        </is>
      </c>
      <c r="G18" s="16" t="n">
        <v>0.7</v>
      </c>
      <c r="H18" s="15" t="inlineStr">
        <is>
          <t>strong_demand/wide_supply/strong_reverse/high_noise</t>
        </is>
      </c>
    </row>
    <row r="19">
      <c r="A19" s="15" t="inlineStr">
        <is>
          <t>supply_uncontrolled</t>
        </is>
      </c>
      <c r="B19" s="19" t="n">
        <v>0.005848543766</v>
      </c>
      <c r="C19" s="24" t="n">
        <v>0.006991462305</v>
      </c>
      <c r="D19" s="16" t="n">
        <v>0.7020833332999999</v>
      </c>
      <c r="E19" s="16" t="n"/>
      <c r="F19" s="15" t="inlineStr">
        <is>
          <t>strong_demand/narrow_supply/strong_reverse/high_noise</t>
        </is>
      </c>
      <c r="G19" s="16" t="n">
        <v>0.3</v>
      </c>
      <c r="H19" s="15" t="inlineStr">
        <is>
          <t>strong_demand/narrow_supply/strong_reverse/high_noise</t>
        </is>
      </c>
    </row>
    <row r="20">
      <c r="A20" s="15" t="inlineStr">
        <is>
          <t>under_35_shift</t>
        </is>
      </c>
      <c r="B20" s="19" t="n">
        <v>-0.0001647416806</v>
      </c>
      <c r="C20" s="24" t="n">
        <v>0.001775376764</v>
      </c>
      <c r="D20" s="16" t="n">
        <v>0.8541666667</v>
      </c>
      <c r="E20" s="16" t="n"/>
      <c r="F20" s="15" t="inlineStr">
        <is>
          <t>strong_demand/wide_supply/mild_reverse/high_noise</t>
        </is>
      </c>
      <c r="G20" s="16" t="n">
        <v>0.6</v>
      </c>
      <c r="H20" s="15" t="inlineStr">
        <is>
          <t>strong_demand/wide_supply/mild_reverse/high_noise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11"/>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recovery.by_condition: Source: the simulated metros with known truth, the recovery study, every condition and seed, 20 seeds, as of 2026-10-22.</t>
        </is>
      </c>
    </row>
    <row r="3">
      <c r="A3" s="9" t="inlineStr">
        <is>
          <t>Estimator</t>
        </is>
      </c>
      <c r="B3" s="9" t="inlineStr">
        <is>
          <t>Condition</t>
        </is>
      </c>
      <c r="C3" s="9" t="inlineStr">
        <is>
          <t>Seeds</t>
        </is>
      </c>
      <c r="D3" s="9" t="inlineStr">
        <is>
          <t>Bias</t>
        </is>
      </c>
      <c r="E3" s="9" t="inlineStr">
        <is>
          <t>RMSE</t>
        </is>
      </c>
      <c r="F3" s="9" t="inlineStr">
        <is>
          <t>Coverage</t>
        </is>
      </c>
      <c r="G3" s="9" t="inlineStr">
        <is>
          <t>Flag rate</t>
        </is>
      </c>
    </row>
    <row r="4">
      <c r="A4" s="15" t="inlineStr">
        <is>
          <t>anchored_level</t>
        </is>
      </c>
      <c r="B4" s="15" t="inlineStr">
        <is>
          <t>strong_demand/narrow_supply/mild_reverse/high_noise</t>
        </is>
      </c>
      <c r="C4" s="12" t="n">
        <v>20</v>
      </c>
      <c r="D4" s="19" t="n">
        <v>0.0002918552333</v>
      </c>
      <c r="E4" s="24" t="n">
        <v>0.01090325009</v>
      </c>
      <c r="F4" s="16" t="n"/>
      <c r="G4" s="16" t="n"/>
    </row>
    <row r="5">
      <c r="A5" s="15" t="inlineStr">
        <is>
          <t>anchored_level</t>
        </is>
      </c>
      <c r="B5" s="15" t="inlineStr">
        <is>
          <t>strong_demand/narrow_supply/mild_reverse/low_noise</t>
        </is>
      </c>
      <c r="C5" s="12" t="n">
        <v>20</v>
      </c>
      <c r="D5" s="19" t="n">
        <v>0.0001438320983</v>
      </c>
      <c r="E5" s="24" t="n">
        <v>0.01098431416</v>
      </c>
      <c r="F5" s="16" t="n"/>
      <c r="G5" s="16" t="n"/>
    </row>
    <row r="6">
      <c r="A6" s="15" t="inlineStr">
        <is>
          <t>anchored_level</t>
        </is>
      </c>
      <c r="B6" s="15" t="inlineStr">
        <is>
          <t>strong_demand/narrow_supply/none_reverse/high_noise</t>
        </is>
      </c>
      <c r="C6" s="12" t="n">
        <v>20</v>
      </c>
      <c r="D6" s="19" t="n">
        <v>0.0004056230737</v>
      </c>
      <c r="E6" s="24" t="n">
        <v>0.01247681206</v>
      </c>
      <c r="F6" s="16" t="n"/>
      <c r="G6" s="16" t="n"/>
    </row>
    <row r="7">
      <c r="A7" s="15" t="inlineStr">
        <is>
          <t>anchored_level</t>
        </is>
      </c>
      <c r="B7" s="15" t="inlineStr">
        <is>
          <t>strong_demand/narrow_supply/none_reverse/low_noise</t>
        </is>
      </c>
      <c r="C7" s="12" t="n">
        <v>20</v>
      </c>
      <c r="D7" s="19" t="n">
        <v>0.000302955023</v>
      </c>
      <c r="E7" s="24" t="n">
        <v>0.01250210356</v>
      </c>
      <c r="F7" s="16" t="n"/>
      <c r="G7" s="16" t="n"/>
    </row>
    <row r="8">
      <c r="A8" s="15" t="inlineStr">
        <is>
          <t>anchored_level</t>
        </is>
      </c>
      <c r="B8" s="15" t="inlineStr">
        <is>
          <t>strong_demand/narrow_supply/strong_reverse/high_noise</t>
        </is>
      </c>
      <c r="C8" s="12" t="n">
        <v>20</v>
      </c>
      <c r="D8" s="19" t="n">
        <v>5.578726207e-05</v>
      </c>
      <c r="E8" s="24" t="n">
        <v>0.009651652662</v>
      </c>
      <c r="F8" s="16" t="n"/>
      <c r="G8" s="16" t="n"/>
    </row>
    <row r="9">
      <c r="A9" s="15" t="inlineStr">
        <is>
          <t>anchored_level</t>
        </is>
      </c>
      <c r="B9" s="15" t="inlineStr">
        <is>
          <t>strong_demand/narrow_supply/strong_reverse/low_noise</t>
        </is>
      </c>
      <c r="C9" s="12" t="n">
        <v>20</v>
      </c>
      <c r="D9" s="19" t="n">
        <v>-0.0001076468847</v>
      </c>
      <c r="E9" s="24" t="n">
        <v>0.009579854440999999</v>
      </c>
      <c r="F9" s="16" t="n"/>
      <c r="G9" s="16" t="n"/>
    </row>
    <row r="10">
      <c r="A10" s="15" t="inlineStr">
        <is>
          <t>anchored_level</t>
        </is>
      </c>
      <c r="B10" s="15" t="inlineStr">
        <is>
          <t>strong_demand/wide_supply/mild_reverse/high_noise</t>
        </is>
      </c>
      <c r="C10" s="12" t="n">
        <v>20</v>
      </c>
      <c r="D10" s="19" t="n">
        <v>0.0003806207195</v>
      </c>
      <c r="E10" s="24" t="n">
        <v>0.01093587862</v>
      </c>
      <c r="F10" s="16" t="n"/>
      <c r="G10" s="16" t="n"/>
    </row>
    <row r="11">
      <c r="A11" s="15" t="inlineStr">
        <is>
          <t>anchored_level</t>
        </is>
      </c>
      <c r="B11" s="15" t="inlineStr">
        <is>
          <t>strong_demand/wide_supply/mild_reverse/low_noise</t>
        </is>
      </c>
      <c r="C11" s="12" t="n">
        <v>20</v>
      </c>
      <c r="D11" s="19" t="n">
        <v>0.0002321435312</v>
      </c>
      <c r="E11" s="24" t="n">
        <v>0.01101312539</v>
      </c>
      <c r="F11" s="16" t="n"/>
      <c r="G11" s="16" t="n"/>
    </row>
    <row r="12">
      <c r="A12" s="15" t="inlineStr">
        <is>
          <t>anchored_level</t>
        </is>
      </c>
      <c r="B12" s="15" t="inlineStr">
        <is>
          <t>strong_demand/wide_supply/none_reverse/high_noise</t>
        </is>
      </c>
      <c r="C12" s="12" t="n">
        <v>20</v>
      </c>
      <c r="D12" s="19" t="n">
        <v>0.0005076600152</v>
      </c>
      <c r="E12" s="24" t="n">
        <v>0.01256366939</v>
      </c>
      <c r="F12" s="16" t="n"/>
      <c r="G12" s="16" t="n"/>
    </row>
    <row r="13">
      <c r="A13" s="15" t="inlineStr">
        <is>
          <t>anchored_level</t>
        </is>
      </c>
      <c r="B13" s="15" t="inlineStr">
        <is>
          <t>strong_demand/wide_supply/none_reverse/low_noise</t>
        </is>
      </c>
      <c r="C13" s="12" t="n">
        <v>20</v>
      </c>
      <c r="D13" s="19" t="n">
        <v>0.0004012725776</v>
      </c>
      <c r="E13" s="24" t="n">
        <v>0.01259034204</v>
      </c>
      <c r="F13" s="16" t="n"/>
      <c r="G13" s="16" t="n"/>
    </row>
    <row r="14">
      <c r="A14" s="15" t="inlineStr">
        <is>
          <t>anchored_level</t>
        </is>
      </c>
      <c r="B14" s="15" t="inlineStr">
        <is>
          <t>strong_demand/wide_supply/strong_reverse/high_noise</t>
        </is>
      </c>
      <c r="C14" s="12" t="n">
        <v>20</v>
      </c>
      <c r="D14" s="19" t="n">
        <v>0.0001306719587</v>
      </c>
      <c r="E14" s="24" t="n">
        <v>0.00964530877</v>
      </c>
      <c r="F14" s="16" t="n"/>
      <c r="G14" s="16" t="n"/>
    </row>
    <row r="15">
      <c r="A15" s="15" t="inlineStr">
        <is>
          <t>anchored_level</t>
        </is>
      </c>
      <c r="B15" s="15" t="inlineStr">
        <is>
          <t>strong_demand/wide_supply/strong_reverse/low_noise</t>
        </is>
      </c>
      <c r="C15" s="12" t="n">
        <v>20</v>
      </c>
      <c r="D15" s="19" t="n">
        <v>-3.564303846e-05</v>
      </c>
      <c r="E15" s="24" t="n">
        <v>0.009562094645</v>
      </c>
      <c r="F15" s="16" t="n"/>
      <c r="G15" s="16" t="n"/>
    </row>
    <row r="16">
      <c r="A16" s="15" t="inlineStr">
        <is>
          <t>anchored_level</t>
        </is>
      </c>
      <c r="B16" s="15" t="inlineStr">
        <is>
          <t>weak_demand/narrow_supply/mild_reverse/high_noise</t>
        </is>
      </c>
      <c r="C16" s="12" t="n">
        <v>20</v>
      </c>
      <c r="D16" s="19" t="n">
        <v>-0.003158193629</v>
      </c>
      <c r="E16" s="24" t="n">
        <v>0.01590768717</v>
      </c>
      <c r="F16" s="16" t="n"/>
      <c r="G16" s="16" t="n"/>
    </row>
    <row r="17">
      <c r="A17" s="15" t="inlineStr">
        <is>
          <t>anchored_level</t>
        </is>
      </c>
      <c r="B17" s="15" t="inlineStr">
        <is>
          <t>weak_demand/narrow_supply/mild_reverse/low_noise</t>
        </is>
      </c>
      <c r="C17" s="12" t="n">
        <v>20</v>
      </c>
      <c r="D17" s="19" t="n">
        <v>-0.003104790802</v>
      </c>
      <c r="E17" s="24" t="n">
        <v>0.0159555148</v>
      </c>
      <c r="F17" s="16" t="n"/>
      <c r="G17" s="16" t="n"/>
    </row>
    <row r="18">
      <c r="A18" s="15" t="inlineStr">
        <is>
          <t>anchored_level</t>
        </is>
      </c>
      <c r="B18" s="15" t="inlineStr">
        <is>
          <t>weak_demand/narrow_supply/none_reverse/high_noise</t>
        </is>
      </c>
      <c r="C18" s="12" t="n">
        <v>20</v>
      </c>
      <c r="D18" s="19" t="n">
        <v>-0.003173758553</v>
      </c>
      <c r="E18" s="24" t="n">
        <v>0.01592354316</v>
      </c>
      <c r="F18" s="16" t="n"/>
      <c r="G18" s="16" t="n"/>
    </row>
    <row r="19">
      <c r="A19" s="15" t="inlineStr">
        <is>
          <t>anchored_level</t>
        </is>
      </c>
      <c r="B19" s="15" t="inlineStr">
        <is>
          <t>weak_demand/narrow_supply/none_reverse/low_noise</t>
        </is>
      </c>
      <c r="C19" s="12" t="n">
        <v>20</v>
      </c>
      <c r="D19" s="19" t="n">
        <v>-0.003128994826</v>
      </c>
      <c r="E19" s="24" t="n">
        <v>0.01598424017</v>
      </c>
      <c r="F19" s="16" t="n"/>
      <c r="G19" s="16" t="n"/>
    </row>
    <row r="20">
      <c r="A20" s="15" t="inlineStr">
        <is>
          <t>anchored_level</t>
        </is>
      </c>
      <c r="B20" s="15" t="inlineStr">
        <is>
          <t>weak_demand/narrow_supply/strong_reverse/high_noise</t>
        </is>
      </c>
      <c r="C20" s="12" t="n">
        <v>20</v>
      </c>
      <c r="D20" s="19" t="n">
        <v>-0.002992853018</v>
      </c>
      <c r="E20" s="24" t="n">
        <v>0.01592874888</v>
      </c>
      <c r="F20" s="16" t="n"/>
      <c r="G20" s="16" t="n"/>
    </row>
    <row r="21">
      <c r="A21" s="15" t="inlineStr">
        <is>
          <t>anchored_level</t>
        </is>
      </c>
      <c r="B21" s="15" t="inlineStr">
        <is>
          <t>weak_demand/narrow_supply/strong_reverse/low_noise</t>
        </is>
      </c>
      <c r="C21" s="12" t="n">
        <v>20</v>
      </c>
      <c r="D21" s="19" t="n">
        <v>-0.002932894675</v>
      </c>
      <c r="E21" s="24" t="n">
        <v>0.01595584762</v>
      </c>
      <c r="F21" s="16" t="n"/>
      <c r="G21" s="16" t="n"/>
    </row>
    <row r="22">
      <c r="A22" s="15" t="inlineStr">
        <is>
          <t>anchored_level</t>
        </is>
      </c>
      <c r="B22" s="15" t="inlineStr">
        <is>
          <t>weak_demand/wide_supply/mild_reverse/high_noise</t>
        </is>
      </c>
      <c r="C22" s="12" t="n">
        <v>20</v>
      </c>
      <c r="D22" s="19" t="n">
        <v>-0.003158108016</v>
      </c>
      <c r="E22" s="24" t="n">
        <v>0.01596199057</v>
      </c>
      <c r="F22" s="16" t="n"/>
      <c r="G22" s="16" t="n"/>
    </row>
    <row r="23">
      <c r="A23" s="15" t="inlineStr">
        <is>
          <t>anchored_level</t>
        </is>
      </c>
      <c r="B23" s="15" t="inlineStr">
        <is>
          <t>weak_demand/wide_supply/mild_reverse/low_noise</t>
        </is>
      </c>
      <c r="C23" s="12" t="n">
        <v>20</v>
      </c>
      <c r="D23" s="19" t="n">
        <v>-0.003105961572</v>
      </c>
      <c r="E23" s="24" t="n">
        <v>0.01601640461</v>
      </c>
      <c r="F23" s="16" t="n"/>
      <c r="G23" s="16" t="n"/>
    </row>
    <row r="24">
      <c r="A24" s="15" t="inlineStr">
        <is>
          <t>anchored_level</t>
        </is>
      </c>
      <c r="B24" s="15" t="inlineStr">
        <is>
          <t>weak_demand/wide_supply/none_reverse/high_noise</t>
        </is>
      </c>
      <c r="C24" s="12" t="n">
        <v>20</v>
      </c>
      <c r="D24" s="19" t="n">
        <v>-0.003147885454</v>
      </c>
      <c r="E24" s="24" t="n">
        <v>0.01586281682</v>
      </c>
      <c r="F24" s="16" t="n"/>
      <c r="G24" s="16" t="n"/>
    </row>
    <row r="25">
      <c r="A25" s="15" t="inlineStr">
        <is>
          <t>anchored_level</t>
        </is>
      </c>
      <c r="B25" s="15" t="inlineStr">
        <is>
          <t>weak_demand/wide_supply/none_reverse/low_noise</t>
        </is>
      </c>
      <c r="C25" s="12" t="n">
        <v>20</v>
      </c>
      <c r="D25" s="19" t="n">
        <v>-0.003110659617</v>
      </c>
      <c r="E25" s="24" t="n">
        <v>0.01593684212</v>
      </c>
      <c r="F25" s="16" t="n"/>
      <c r="G25" s="16" t="n"/>
    </row>
    <row r="26">
      <c r="A26" s="15" t="inlineStr">
        <is>
          <t>anchored_level</t>
        </is>
      </c>
      <c r="B26" s="15" t="inlineStr">
        <is>
          <t>weak_demand/wide_supply/strong_reverse/high_noise</t>
        </is>
      </c>
      <c r="C26" s="12" t="n">
        <v>20</v>
      </c>
      <c r="D26" s="19" t="n">
        <v>-0.003031201</v>
      </c>
      <c r="E26" s="24" t="n">
        <v>0.01613168961</v>
      </c>
      <c r="F26" s="16" t="n"/>
      <c r="G26" s="16" t="n"/>
    </row>
    <row r="27">
      <c r="A27" s="15" t="inlineStr">
        <is>
          <t>anchored_level</t>
        </is>
      </c>
      <c r="B27" s="15" t="inlineStr">
        <is>
          <t>weak_demand/wide_supply/strong_reverse/low_noise</t>
        </is>
      </c>
      <c r="C27" s="12" t="n">
        <v>20</v>
      </c>
      <c r="D27" s="19" t="n">
        <v>-0.002976692755</v>
      </c>
      <c r="E27" s="24" t="n">
        <v>0.01615525291</v>
      </c>
      <c r="F27" s="16" t="n"/>
      <c r="G27" s="16" t="n"/>
    </row>
    <row r="28">
      <c r="A28" s="15" t="inlineStr">
        <is>
          <t>anchored_payment_share</t>
        </is>
      </c>
      <c r="B28" s="15" t="inlineStr">
        <is>
          <t>strong_demand/narrow_supply/mild_reverse/high_noise</t>
        </is>
      </c>
      <c r="C28" s="12" t="n">
        <v>20</v>
      </c>
      <c r="D28" s="19" t="n">
        <v>0.0003002725562</v>
      </c>
      <c r="E28" s="24" t="n">
        <v>0.00296364346</v>
      </c>
      <c r="F28" s="16" t="n">
        <v>0.5</v>
      </c>
      <c r="G28" s="16" t="n"/>
    </row>
    <row r="29">
      <c r="A29" s="15" t="inlineStr">
        <is>
          <t>anchored_payment_share</t>
        </is>
      </c>
      <c r="B29" s="15" t="inlineStr">
        <is>
          <t>strong_demand/narrow_supply/mild_reverse/low_noise</t>
        </is>
      </c>
      <c r="C29" s="12" t="n">
        <v>20</v>
      </c>
      <c r="D29" s="19" t="n">
        <v>0.000277491959</v>
      </c>
      <c r="E29" s="24" t="n">
        <v>0.002989580623</v>
      </c>
      <c r="F29" s="16" t="n">
        <v>0.45</v>
      </c>
      <c r="G29" s="16" t="n"/>
    </row>
    <row r="30">
      <c r="A30" s="15" t="inlineStr">
        <is>
          <t>anchored_payment_share</t>
        </is>
      </c>
      <c r="B30" s="15" t="inlineStr">
        <is>
          <t>strong_demand/narrow_supply/none_reverse/high_noise</t>
        </is>
      </c>
      <c r="C30" s="12" t="n">
        <v>20</v>
      </c>
      <c r="D30" s="19" t="n">
        <v>0.0003535411319</v>
      </c>
      <c r="E30" s="24" t="n">
        <v>0.003626419586</v>
      </c>
      <c r="F30" s="16" t="n">
        <v>0.5</v>
      </c>
      <c r="G30" s="16" t="n"/>
    </row>
    <row r="31">
      <c r="A31" s="15" t="inlineStr">
        <is>
          <t>anchored_payment_share</t>
        </is>
      </c>
      <c r="B31" s="15" t="inlineStr">
        <is>
          <t>strong_demand/narrow_supply/none_reverse/low_noise</t>
        </is>
      </c>
      <c r="C31" s="12" t="n">
        <v>20</v>
      </c>
      <c r="D31" s="19" t="n">
        <v>0.0003540446973</v>
      </c>
      <c r="E31" s="24" t="n">
        <v>0.00363327924</v>
      </c>
      <c r="F31" s="16" t="n">
        <v>0.5</v>
      </c>
      <c r="G31" s="16" t="n"/>
    </row>
    <row r="32">
      <c r="A32" s="15" t="inlineStr">
        <is>
          <t>anchored_payment_share</t>
        </is>
      </c>
      <c r="B32" s="15" t="inlineStr">
        <is>
          <t>strong_demand/narrow_supply/strong_reverse/high_noise</t>
        </is>
      </c>
      <c r="C32" s="12" t="n">
        <v>20</v>
      </c>
      <c r="D32" s="19" t="n">
        <v>0.000166724059</v>
      </c>
      <c r="E32" s="24" t="n">
        <v>0.002507182075</v>
      </c>
      <c r="F32" s="16" t="n">
        <v>0.5</v>
      </c>
      <c r="G32" s="16" t="n"/>
    </row>
    <row r="33">
      <c r="A33" s="15" t="inlineStr">
        <is>
          <t>anchored_payment_share</t>
        </is>
      </c>
      <c r="B33" s="15" t="inlineStr">
        <is>
          <t>strong_demand/narrow_supply/strong_reverse/low_noise</t>
        </is>
      </c>
      <c r="C33" s="12" t="n">
        <v>20</v>
      </c>
      <c r="D33" s="19" t="n">
        <v>0.0001293830005</v>
      </c>
      <c r="E33" s="24" t="n">
        <v>0.002519941222</v>
      </c>
      <c r="F33" s="16" t="n">
        <v>0.5</v>
      </c>
      <c r="G33" s="16" t="n"/>
    </row>
    <row r="34">
      <c r="A34" s="15" t="inlineStr">
        <is>
          <t>anchored_payment_share</t>
        </is>
      </c>
      <c r="B34" s="15" t="inlineStr">
        <is>
          <t>strong_demand/wide_supply/mild_reverse/high_noise</t>
        </is>
      </c>
      <c r="C34" s="12" t="n">
        <v>20</v>
      </c>
      <c r="D34" s="19" t="n">
        <v>0.0003283854348</v>
      </c>
      <c r="E34" s="24" t="n">
        <v>0.002973387219</v>
      </c>
      <c r="F34" s="16" t="n">
        <v>0.5</v>
      </c>
      <c r="G34" s="16" t="n"/>
    </row>
    <row r="35">
      <c r="A35" s="15" t="inlineStr">
        <is>
          <t>anchored_payment_share</t>
        </is>
      </c>
      <c r="B35" s="15" t="inlineStr">
        <is>
          <t>strong_demand/wide_supply/mild_reverse/low_noise</t>
        </is>
      </c>
      <c r="C35" s="12" t="n">
        <v>20</v>
      </c>
      <c r="D35" s="19" t="n">
        <v>0.0003058951459</v>
      </c>
      <c r="E35" s="24" t="n">
        <v>0.002999250741</v>
      </c>
      <c r="F35" s="16" t="n">
        <v>0.45</v>
      </c>
      <c r="G35" s="16" t="n"/>
    </row>
    <row r="36">
      <c r="A36" s="15" t="inlineStr">
        <is>
          <t>anchored_payment_share</t>
        </is>
      </c>
      <c r="B36" s="15" t="inlineStr">
        <is>
          <t>strong_demand/wide_supply/none_reverse/high_noise</t>
        </is>
      </c>
      <c r="C36" s="12" t="n">
        <v>20</v>
      </c>
      <c r="D36" s="19" t="n">
        <v>0.0003923358567</v>
      </c>
      <c r="E36" s="24" t="n">
        <v>0.003648502669</v>
      </c>
      <c r="F36" s="16" t="n">
        <v>0.5</v>
      </c>
      <c r="G36" s="16" t="n"/>
    </row>
    <row r="37">
      <c r="A37" s="15" t="inlineStr">
        <is>
          <t>anchored_payment_share</t>
        </is>
      </c>
      <c r="B37" s="15" t="inlineStr">
        <is>
          <t>strong_demand/wide_supply/none_reverse/low_noise</t>
        </is>
      </c>
      <c r="C37" s="12" t="n">
        <v>20</v>
      </c>
      <c r="D37" s="19" t="n">
        <v>0.0003925387187</v>
      </c>
      <c r="E37" s="24" t="n">
        <v>0.003658737528</v>
      </c>
      <c r="F37" s="16" t="n">
        <v>0.5</v>
      </c>
      <c r="G37" s="16" t="n"/>
    </row>
    <row r="38">
      <c r="A38" s="15" t="inlineStr">
        <is>
          <t>anchored_payment_share</t>
        </is>
      </c>
      <c r="B38" s="15" t="inlineStr">
        <is>
          <t>strong_demand/wide_supply/strong_reverse/high_noise</t>
        </is>
      </c>
      <c r="C38" s="12" t="n">
        <v>20</v>
      </c>
      <c r="D38" s="19" t="n">
        <v>0.0001890004513</v>
      </c>
      <c r="E38" s="24" t="n">
        <v>0.002510984932</v>
      </c>
      <c r="F38" s="16" t="n">
        <v>0.5</v>
      </c>
      <c r="G38" s="16" t="n"/>
    </row>
    <row r="39">
      <c r="A39" s="15" t="inlineStr">
        <is>
          <t>anchored_payment_share</t>
        </is>
      </c>
      <c r="B39" s="15" t="inlineStr">
        <is>
          <t>strong_demand/wide_supply/strong_reverse/low_noise</t>
        </is>
      </c>
      <c r="C39" s="12" t="n">
        <v>20</v>
      </c>
      <c r="D39" s="19" t="n">
        <v>0.0001506176904</v>
      </c>
      <c r="E39" s="24" t="n">
        <v>0.002520930558</v>
      </c>
      <c r="F39" s="16" t="n">
        <v>0.5</v>
      </c>
      <c r="G39" s="16" t="n"/>
    </row>
    <row r="40">
      <c r="A40" s="15" t="inlineStr">
        <is>
          <t>anchored_payment_share</t>
        </is>
      </c>
      <c r="B40" s="15" t="inlineStr">
        <is>
          <t>weak_demand/narrow_supply/mild_reverse/high_noise</t>
        </is>
      </c>
      <c r="C40" s="12" t="n">
        <v>20</v>
      </c>
      <c r="D40" s="19" t="n">
        <v>-0.000627994267</v>
      </c>
      <c r="E40" s="24" t="n">
        <v>0.004531291836</v>
      </c>
      <c r="F40" s="16" t="n">
        <v>0.35</v>
      </c>
      <c r="G40" s="16" t="n"/>
    </row>
    <row r="41">
      <c r="A41" s="15" t="inlineStr">
        <is>
          <t>anchored_payment_share</t>
        </is>
      </c>
      <c r="B41" s="15" t="inlineStr">
        <is>
          <t>weak_demand/narrow_supply/mild_reverse/low_noise</t>
        </is>
      </c>
      <c r="C41" s="12" t="n">
        <v>20</v>
      </c>
      <c r="D41" s="19" t="n">
        <v>-0.0006505149575</v>
      </c>
      <c r="E41" s="24" t="n">
        <v>0.004544153585</v>
      </c>
      <c r="F41" s="16" t="n">
        <v>0.35</v>
      </c>
      <c r="G41" s="16" t="n"/>
    </row>
    <row r="42">
      <c r="A42" s="15" t="inlineStr">
        <is>
          <t>anchored_payment_share</t>
        </is>
      </c>
      <c r="B42" s="15" t="inlineStr">
        <is>
          <t>weak_demand/narrow_supply/none_reverse/high_noise</t>
        </is>
      </c>
      <c r="C42" s="12" t="n">
        <v>20</v>
      </c>
      <c r="D42" s="19" t="n">
        <v>-0.000653431163</v>
      </c>
      <c r="E42" s="24" t="n">
        <v>0.004633107965</v>
      </c>
      <c r="F42" s="16" t="n">
        <v>0.35</v>
      </c>
      <c r="G42" s="16" t="n"/>
    </row>
    <row r="43">
      <c r="A43" s="15" t="inlineStr">
        <is>
          <t>anchored_payment_share</t>
        </is>
      </c>
      <c r="B43" s="15" t="inlineStr">
        <is>
          <t>weak_demand/narrow_supply/none_reverse/low_noise</t>
        </is>
      </c>
      <c r="C43" s="12" t="n">
        <v>20</v>
      </c>
      <c r="D43" s="19" t="n">
        <v>-0.0006819476316999999</v>
      </c>
      <c r="E43" s="24" t="n">
        <v>0.004647281824</v>
      </c>
      <c r="F43" s="16" t="n">
        <v>0.35</v>
      </c>
      <c r="G43" s="16" t="n"/>
    </row>
    <row r="44">
      <c r="A44" s="15" t="inlineStr">
        <is>
          <t>anchored_payment_share</t>
        </is>
      </c>
      <c r="B44" s="15" t="inlineStr">
        <is>
          <t>weak_demand/narrow_supply/strong_reverse/high_noise</t>
        </is>
      </c>
      <c r="C44" s="12" t="n">
        <v>20</v>
      </c>
      <c r="D44" s="19" t="n">
        <v>-0.0005537353954</v>
      </c>
      <c r="E44" s="24" t="n">
        <v>0.004297686714</v>
      </c>
      <c r="F44" s="16" t="n">
        <v>0.5</v>
      </c>
      <c r="G44" s="16" t="n"/>
    </row>
    <row r="45">
      <c r="A45" s="15" t="inlineStr">
        <is>
          <t>anchored_payment_share</t>
        </is>
      </c>
      <c r="B45" s="15" t="inlineStr">
        <is>
          <t>weak_demand/narrow_supply/strong_reverse/low_noise</t>
        </is>
      </c>
      <c r="C45" s="12" t="n">
        <v>20</v>
      </c>
      <c r="D45" s="19" t="n">
        <v>-0.0005667087148</v>
      </c>
      <c r="E45" s="24" t="n">
        <v>0.004308432195</v>
      </c>
      <c r="F45" s="16" t="n">
        <v>0.4</v>
      </c>
      <c r="G45" s="16" t="n"/>
    </row>
    <row r="46">
      <c r="A46" s="15" t="inlineStr">
        <is>
          <t>anchored_payment_share</t>
        </is>
      </c>
      <c r="B46" s="15" t="inlineStr">
        <is>
          <t>weak_demand/wide_supply/mild_reverse/high_noise</t>
        </is>
      </c>
      <c r="C46" s="12" t="n">
        <v>20</v>
      </c>
      <c r="D46" s="19" t="n">
        <v>-0.0006205081991</v>
      </c>
      <c r="E46" s="24" t="n">
        <v>0.004550615507</v>
      </c>
      <c r="F46" s="16" t="n">
        <v>0.35</v>
      </c>
      <c r="G46" s="16" t="n"/>
    </row>
    <row r="47">
      <c r="A47" s="15" t="inlineStr">
        <is>
          <t>anchored_payment_share</t>
        </is>
      </c>
      <c r="B47" s="15" t="inlineStr">
        <is>
          <t>weak_demand/wide_supply/mild_reverse/low_noise</t>
        </is>
      </c>
      <c r="C47" s="12" t="n">
        <v>20</v>
      </c>
      <c r="D47" s="19" t="n">
        <v>-0.0006439698551</v>
      </c>
      <c r="E47" s="24" t="n">
        <v>0.004564307586</v>
      </c>
      <c r="F47" s="16" t="n">
        <v>0.35</v>
      </c>
      <c r="G47" s="16" t="n"/>
    </row>
    <row r="48">
      <c r="A48" s="15" t="inlineStr">
        <is>
          <t>anchored_payment_share</t>
        </is>
      </c>
      <c r="B48" s="15" t="inlineStr">
        <is>
          <t>weak_demand/wide_supply/none_reverse/high_noise</t>
        </is>
      </c>
      <c r="C48" s="12" t="n">
        <v>20</v>
      </c>
      <c r="D48" s="19" t="n">
        <v>-0.0006476817815</v>
      </c>
      <c r="E48" s="24" t="n">
        <v>0.004633282501</v>
      </c>
      <c r="F48" s="16" t="n">
        <v>0.35</v>
      </c>
      <c r="G48" s="16" t="n"/>
    </row>
    <row r="49">
      <c r="A49" s="15" t="inlineStr">
        <is>
          <t>anchored_payment_share</t>
        </is>
      </c>
      <c r="B49" s="15" t="inlineStr">
        <is>
          <t>weak_demand/wide_supply/none_reverse/low_noise</t>
        </is>
      </c>
      <c r="C49" s="12" t="n">
        <v>20</v>
      </c>
      <c r="D49" s="19" t="n">
        <v>-0.0006779170504</v>
      </c>
      <c r="E49" s="24" t="n">
        <v>0.004648529344</v>
      </c>
      <c r="F49" s="16" t="n">
        <v>0.35</v>
      </c>
      <c r="G49" s="16" t="n"/>
    </row>
    <row r="50">
      <c r="A50" s="15" t="inlineStr">
        <is>
          <t>anchored_payment_share</t>
        </is>
      </c>
      <c r="B50" s="15" t="inlineStr">
        <is>
          <t>weak_demand/wide_supply/strong_reverse/high_noise</t>
        </is>
      </c>
      <c r="C50" s="12" t="n">
        <v>20</v>
      </c>
      <c r="D50" s="19" t="n">
        <v>-0.0005438046208</v>
      </c>
      <c r="E50" s="24" t="n">
        <v>0.004328536552</v>
      </c>
      <c r="F50" s="16" t="n">
        <v>0.45</v>
      </c>
      <c r="G50" s="16" t="n"/>
    </row>
    <row r="51">
      <c r="A51" s="15" t="inlineStr">
        <is>
          <t>anchored_payment_share</t>
        </is>
      </c>
      <c r="B51" s="15" t="inlineStr">
        <is>
          <t>weak_demand/wide_supply/strong_reverse/low_noise</t>
        </is>
      </c>
      <c r="C51" s="12" t="n">
        <v>20</v>
      </c>
      <c r="D51" s="19" t="n">
        <v>-0.0005602846669</v>
      </c>
      <c r="E51" s="24" t="n">
        <v>0.004342313795</v>
      </c>
      <c r="F51" s="16" t="n">
        <v>0.35</v>
      </c>
      <c r="G51" s="16" t="n"/>
    </row>
    <row r="52">
      <c r="A52" s="15" t="inlineStr">
        <is>
          <t>borrower_ratio_shift</t>
        </is>
      </c>
      <c r="B52" s="15" t="inlineStr">
        <is>
          <t>strong_demand/narrow_supply/mild_reverse/high_noise</t>
        </is>
      </c>
      <c r="C52" s="12" t="n">
        <v>20</v>
      </c>
      <c r="D52" s="19" t="n">
        <v>-0.002176631575</v>
      </c>
      <c r="E52" s="24" t="n">
        <v>0.00561131359</v>
      </c>
      <c r="F52" s="16" t="n">
        <v>0.8</v>
      </c>
      <c r="G52" s="16" t="n"/>
    </row>
    <row r="53">
      <c r="A53" s="15" t="inlineStr">
        <is>
          <t>borrower_ratio_shift</t>
        </is>
      </c>
      <c r="B53" s="15" t="inlineStr">
        <is>
          <t>strong_demand/narrow_supply/mild_reverse/low_noise</t>
        </is>
      </c>
      <c r="C53" s="12" t="n">
        <v>20</v>
      </c>
      <c r="D53" s="19" t="n">
        <v>-0.002196052795</v>
      </c>
      <c r="E53" s="24" t="n">
        <v>0.006535729101</v>
      </c>
      <c r="F53" s="16" t="n">
        <v>0.7</v>
      </c>
      <c r="G53" s="16" t="n"/>
    </row>
    <row r="54">
      <c r="A54" s="15" t="inlineStr">
        <is>
          <t>borrower_ratio_shift</t>
        </is>
      </c>
      <c r="B54" s="15" t="inlineStr">
        <is>
          <t>strong_demand/narrow_supply/none_reverse/high_noise</t>
        </is>
      </c>
      <c r="C54" s="12" t="n">
        <v>20</v>
      </c>
      <c r="D54" s="19" t="n">
        <v>-0.000820382145</v>
      </c>
      <c r="E54" s="24" t="n">
        <v>0.006035526302</v>
      </c>
      <c r="F54" s="16" t="n">
        <v>0.85</v>
      </c>
      <c r="G54" s="16" t="n"/>
    </row>
    <row r="55">
      <c r="A55" s="15" t="inlineStr">
        <is>
          <t>borrower_ratio_shift</t>
        </is>
      </c>
      <c r="B55" s="15" t="inlineStr">
        <is>
          <t>strong_demand/narrow_supply/none_reverse/low_noise</t>
        </is>
      </c>
      <c r="C55" s="12" t="n">
        <v>20</v>
      </c>
      <c r="D55" s="19" t="n">
        <v>-0.000820382145</v>
      </c>
      <c r="E55" s="24" t="n">
        <v>0.006035526302</v>
      </c>
      <c r="F55" s="16" t="n">
        <v>0.85</v>
      </c>
      <c r="G55" s="16" t="n"/>
    </row>
    <row r="56">
      <c r="A56" s="15" t="inlineStr">
        <is>
          <t>borrower_ratio_shift</t>
        </is>
      </c>
      <c r="B56" s="15" t="inlineStr">
        <is>
          <t>strong_demand/narrow_supply/strong_reverse/high_noise</t>
        </is>
      </c>
      <c r="C56" s="12" t="n">
        <v>20</v>
      </c>
      <c r="D56" s="19" t="n">
        <v>-0.002279810959</v>
      </c>
      <c r="E56" s="24" t="n">
        <v>0.005798139206</v>
      </c>
      <c r="F56" s="16" t="n">
        <v>0.6</v>
      </c>
      <c r="G56" s="16" t="n"/>
    </row>
    <row r="57">
      <c r="A57" s="15" t="inlineStr">
        <is>
          <t>borrower_ratio_shift</t>
        </is>
      </c>
      <c r="B57" s="15" t="inlineStr">
        <is>
          <t>strong_demand/narrow_supply/strong_reverse/low_noise</t>
        </is>
      </c>
      <c r="C57" s="12" t="n">
        <v>20</v>
      </c>
      <c r="D57" s="19" t="n">
        <v>-0.001314265989</v>
      </c>
      <c r="E57" s="24" t="n">
        <v>0.005378762512</v>
      </c>
      <c r="F57" s="16" t="n">
        <v>0.7</v>
      </c>
      <c r="G57" s="16" t="n"/>
    </row>
    <row r="58">
      <c r="A58" s="15" t="inlineStr">
        <is>
          <t>borrower_ratio_shift</t>
        </is>
      </c>
      <c r="B58" s="15" t="inlineStr">
        <is>
          <t>strong_demand/wide_supply/mild_reverse/high_noise</t>
        </is>
      </c>
      <c r="C58" s="12" t="n">
        <v>20</v>
      </c>
      <c r="D58" s="19" t="n">
        <v>-0.001726191822</v>
      </c>
      <c r="E58" s="24" t="n">
        <v>0.005111584947</v>
      </c>
      <c r="F58" s="16" t="n">
        <v>0.8</v>
      </c>
      <c r="G58" s="16" t="n"/>
    </row>
    <row r="59">
      <c r="A59" s="15" t="inlineStr">
        <is>
          <t>borrower_ratio_shift</t>
        </is>
      </c>
      <c r="B59" s="15" t="inlineStr">
        <is>
          <t>strong_demand/wide_supply/mild_reverse/low_noise</t>
        </is>
      </c>
      <c r="C59" s="12" t="n">
        <v>20</v>
      </c>
      <c r="D59" s="19" t="n">
        <v>-0.001887624178</v>
      </c>
      <c r="E59" s="24" t="n">
        <v>0.006350695769</v>
      </c>
      <c r="F59" s="16" t="n">
        <v>0.7</v>
      </c>
      <c r="G59" s="16" t="n"/>
    </row>
    <row r="60">
      <c r="A60" s="15" t="inlineStr">
        <is>
          <t>borrower_ratio_shift</t>
        </is>
      </c>
      <c r="B60" s="15" t="inlineStr">
        <is>
          <t>strong_demand/wide_supply/none_reverse/high_noise</t>
        </is>
      </c>
      <c r="C60" s="12" t="n">
        <v>20</v>
      </c>
      <c r="D60" s="19" t="n">
        <v>-0.000820382145</v>
      </c>
      <c r="E60" s="24" t="n">
        <v>0.006035526302</v>
      </c>
      <c r="F60" s="16" t="n">
        <v>0.85</v>
      </c>
      <c r="G60" s="16" t="n"/>
    </row>
    <row r="61">
      <c r="A61" s="15" t="inlineStr">
        <is>
          <t>borrower_ratio_shift</t>
        </is>
      </c>
      <c r="B61" s="15" t="inlineStr">
        <is>
          <t>strong_demand/wide_supply/none_reverse/low_noise</t>
        </is>
      </c>
      <c r="C61" s="12" t="n">
        <v>20</v>
      </c>
      <c r="D61" s="19" t="n">
        <v>-0.000820382145</v>
      </c>
      <c r="E61" s="24" t="n">
        <v>0.006035526302</v>
      </c>
      <c r="F61" s="16" t="n">
        <v>0.85</v>
      </c>
      <c r="G61" s="16" t="n"/>
    </row>
    <row r="62">
      <c r="A62" s="15" t="inlineStr">
        <is>
          <t>borrower_ratio_shift</t>
        </is>
      </c>
      <c r="B62" s="15" t="inlineStr">
        <is>
          <t>strong_demand/wide_supply/strong_reverse/high_noise</t>
        </is>
      </c>
      <c r="C62" s="12" t="n">
        <v>20</v>
      </c>
      <c r="D62" s="19" t="n">
        <v>-0.001708846801</v>
      </c>
      <c r="E62" s="24" t="n">
        <v>0.006461222419</v>
      </c>
      <c r="F62" s="16" t="n">
        <v>0.8</v>
      </c>
      <c r="G62" s="16" t="n"/>
    </row>
    <row r="63">
      <c r="A63" s="15" t="inlineStr">
        <is>
          <t>borrower_ratio_shift</t>
        </is>
      </c>
      <c r="B63" s="15" t="inlineStr">
        <is>
          <t>strong_demand/wide_supply/strong_reverse/low_noise</t>
        </is>
      </c>
      <c r="C63" s="12" t="n">
        <v>20</v>
      </c>
      <c r="D63" s="19" t="n">
        <v>-0.001892555395</v>
      </c>
      <c r="E63" s="24" t="n">
        <v>0.004959962273</v>
      </c>
      <c r="F63" s="16" t="n">
        <v>0.75</v>
      </c>
      <c r="G63" s="16" t="n"/>
    </row>
    <row r="64">
      <c r="A64" s="15" t="inlineStr">
        <is>
          <t>borrower_ratio_shift</t>
        </is>
      </c>
      <c r="B64" s="15" t="inlineStr">
        <is>
          <t>weak_demand/narrow_supply/mild_reverse/high_noise</t>
        </is>
      </c>
      <c r="C64" s="12" t="n">
        <v>20</v>
      </c>
      <c r="D64" s="19" t="n">
        <v>-0.001711649266</v>
      </c>
      <c r="E64" s="24" t="n">
        <v>0.006041607719</v>
      </c>
      <c r="F64" s="16" t="n">
        <v>0.7</v>
      </c>
      <c r="G64" s="16" t="n"/>
    </row>
    <row r="65">
      <c r="A65" s="15" t="inlineStr">
        <is>
          <t>borrower_ratio_shift</t>
        </is>
      </c>
      <c r="B65" s="15" t="inlineStr">
        <is>
          <t>weak_demand/narrow_supply/mild_reverse/low_noise</t>
        </is>
      </c>
      <c r="C65" s="12" t="n">
        <v>20</v>
      </c>
      <c r="D65" s="19" t="n">
        <v>-0.001188549275</v>
      </c>
      <c r="E65" s="24" t="n">
        <v>0.005123768739</v>
      </c>
      <c r="F65" s="16" t="n">
        <v>0.7</v>
      </c>
      <c r="G65" s="16" t="n"/>
    </row>
    <row r="66">
      <c r="A66" s="15" t="inlineStr">
        <is>
          <t>borrower_ratio_shift</t>
        </is>
      </c>
      <c r="B66" s="15" t="inlineStr">
        <is>
          <t>weak_demand/narrow_supply/none_reverse/high_noise</t>
        </is>
      </c>
      <c r="C66" s="12" t="n">
        <v>20</v>
      </c>
      <c r="D66" s="19" t="n">
        <v>-0.001403966355</v>
      </c>
      <c r="E66" s="24" t="n">
        <v>0.004878267721</v>
      </c>
      <c r="F66" s="16" t="n">
        <v>0.85</v>
      </c>
      <c r="G66" s="16" t="n"/>
    </row>
    <row r="67">
      <c r="A67" s="15" t="inlineStr">
        <is>
          <t>borrower_ratio_shift</t>
        </is>
      </c>
      <c r="B67" s="15" t="inlineStr">
        <is>
          <t>weak_demand/narrow_supply/none_reverse/low_noise</t>
        </is>
      </c>
      <c r="C67" s="12" t="n">
        <v>20</v>
      </c>
      <c r="D67" s="19" t="n">
        <v>-0.001403966355</v>
      </c>
      <c r="E67" s="24" t="n">
        <v>0.004878267721</v>
      </c>
      <c r="F67" s="16" t="n">
        <v>0.85</v>
      </c>
      <c r="G67" s="16" t="n"/>
    </row>
    <row r="68">
      <c r="A68" s="15" t="inlineStr">
        <is>
          <t>borrower_ratio_shift</t>
        </is>
      </c>
      <c r="B68" s="15" t="inlineStr">
        <is>
          <t>weak_demand/narrow_supply/strong_reverse/high_noise</t>
        </is>
      </c>
      <c r="C68" s="12" t="n">
        <v>20</v>
      </c>
      <c r="D68" s="19" t="n">
        <v>0.001751326261</v>
      </c>
      <c r="E68" s="24" t="n">
        <v>0.007008669902</v>
      </c>
      <c r="F68" s="16" t="n">
        <v>0.7</v>
      </c>
      <c r="G68" s="16" t="n"/>
    </row>
    <row r="69">
      <c r="A69" s="15" t="inlineStr">
        <is>
          <t>borrower_ratio_shift</t>
        </is>
      </c>
      <c r="B69" s="15" t="inlineStr">
        <is>
          <t>weak_demand/narrow_supply/strong_reverse/low_noise</t>
        </is>
      </c>
      <c r="C69" s="12" t="n">
        <v>20</v>
      </c>
      <c r="D69" s="19" t="n">
        <v>0.0006166238679</v>
      </c>
      <c r="E69" s="24" t="n">
        <v>0.006031857519</v>
      </c>
      <c r="F69" s="16" t="n">
        <v>0.7</v>
      </c>
      <c r="G69" s="16" t="n"/>
    </row>
    <row r="70">
      <c r="A70" s="15" t="inlineStr">
        <is>
          <t>borrower_ratio_shift</t>
        </is>
      </c>
      <c r="B70" s="15" t="inlineStr">
        <is>
          <t>weak_demand/wide_supply/mild_reverse/high_noise</t>
        </is>
      </c>
      <c r="C70" s="12" t="n">
        <v>20</v>
      </c>
      <c r="D70" s="19" t="n">
        <v>-0.001541021438</v>
      </c>
      <c r="E70" s="24" t="n">
        <v>0.006202322419</v>
      </c>
      <c r="F70" s="16" t="n">
        <v>0.75</v>
      </c>
      <c r="G70" s="16" t="n"/>
    </row>
    <row r="71">
      <c r="A71" s="15" t="inlineStr">
        <is>
          <t>borrower_ratio_shift</t>
        </is>
      </c>
      <c r="B71" s="15" t="inlineStr">
        <is>
          <t>weak_demand/wide_supply/mild_reverse/low_noise</t>
        </is>
      </c>
      <c r="C71" s="12" t="n">
        <v>20</v>
      </c>
      <c r="D71" s="19" t="n">
        <v>-0.001335960698</v>
      </c>
      <c r="E71" s="24" t="n">
        <v>0.006179260903</v>
      </c>
      <c r="F71" s="16" t="n">
        <v>0.55</v>
      </c>
      <c r="G71" s="16" t="n"/>
    </row>
    <row r="72">
      <c r="A72" s="15" t="inlineStr">
        <is>
          <t>borrower_ratio_shift</t>
        </is>
      </c>
      <c r="B72" s="15" t="inlineStr">
        <is>
          <t>weak_demand/wide_supply/none_reverse/high_noise</t>
        </is>
      </c>
      <c r="C72" s="12" t="n">
        <v>20</v>
      </c>
      <c r="D72" s="19" t="n">
        <v>-0.001403966355</v>
      </c>
      <c r="E72" s="24" t="n">
        <v>0.004878267721</v>
      </c>
      <c r="F72" s="16" t="n">
        <v>0.85</v>
      </c>
      <c r="G72" s="16" t="n"/>
    </row>
    <row r="73">
      <c r="A73" s="15" t="inlineStr">
        <is>
          <t>borrower_ratio_shift</t>
        </is>
      </c>
      <c r="B73" s="15" t="inlineStr">
        <is>
          <t>weak_demand/wide_supply/none_reverse/low_noise</t>
        </is>
      </c>
      <c r="C73" s="12" t="n">
        <v>20</v>
      </c>
      <c r="D73" s="19" t="n">
        <v>-0.001403966355</v>
      </c>
      <c r="E73" s="24" t="n">
        <v>0.004878267721</v>
      </c>
      <c r="F73" s="16" t="n">
        <v>0.85</v>
      </c>
      <c r="G73" s="16" t="n"/>
    </row>
    <row r="74">
      <c r="A74" s="15" t="inlineStr">
        <is>
          <t>borrower_ratio_shift</t>
        </is>
      </c>
      <c r="B74" s="15" t="inlineStr">
        <is>
          <t>weak_demand/wide_supply/strong_reverse/high_noise</t>
        </is>
      </c>
      <c r="C74" s="12" t="n">
        <v>20</v>
      </c>
      <c r="D74" s="19" t="n">
        <v>0.001976791121</v>
      </c>
      <c r="E74" s="24" t="n">
        <v>0.006127094063</v>
      </c>
      <c r="F74" s="16" t="n">
        <v>0.7</v>
      </c>
      <c r="G74" s="16" t="n"/>
    </row>
    <row r="75">
      <c r="A75" s="15" t="inlineStr">
        <is>
          <t>borrower_ratio_shift</t>
        </is>
      </c>
      <c r="B75" s="15" t="inlineStr">
        <is>
          <t>weak_demand/wide_supply/strong_reverse/low_noise</t>
        </is>
      </c>
      <c r="C75" s="12" t="n">
        <v>20</v>
      </c>
      <c r="D75" s="19" t="n">
        <v>-0.0004075366332</v>
      </c>
      <c r="E75" s="24" t="n">
        <v>0.005794832061</v>
      </c>
      <c r="F75" s="16" t="n">
        <v>0.7</v>
      </c>
      <c r="G75" s="16" t="n"/>
    </row>
    <row r="76">
      <c r="A76" s="15" t="inlineStr">
        <is>
          <t>bracket_interpolation</t>
        </is>
      </c>
      <c r="B76" s="15" t="inlineStr">
        <is>
          <t>strong_demand/narrow_supply/mild_reverse/high_noise</t>
        </is>
      </c>
      <c r="C76" s="12" t="n">
        <v>20</v>
      </c>
      <c r="D76" s="19" t="n">
        <v>0.003632247474</v>
      </c>
      <c r="E76" s="24" t="n">
        <v>0.003905296317</v>
      </c>
      <c r="F76" s="16" t="n"/>
      <c r="G76" s="16" t="n"/>
    </row>
    <row r="77">
      <c r="A77" s="15" t="inlineStr">
        <is>
          <t>bracket_interpolation</t>
        </is>
      </c>
      <c r="B77" s="15" t="inlineStr">
        <is>
          <t>strong_demand/narrow_supply/mild_reverse/low_noise</t>
        </is>
      </c>
      <c r="C77" s="12" t="n">
        <v>20</v>
      </c>
      <c r="D77" s="19" t="n">
        <v>0.003457799574</v>
      </c>
      <c r="E77" s="24" t="n">
        <v>0.003765785709</v>
      </c>
      <c r="F77" s="16" t="n"/>
      <c r="G77" s="16" t="n"/>
    </row>
    <row r="78">
      <c r="A78" s="15" t="inlineStr">
        <is>
          <t>bracket_interpolation</t>
        </is>
      </c>
      <c r="B78" s="15" t="inlineStr">
        <is>
          <t>strong_demand/narrow_supply/none_reverse/high_noise</t>
        </is>
      </c>
      <c r="C78" s="12" t="n">
        <v>20</v>
      </c>
      <c r="D78" s="19" t="n">
        <v>0.003940748125</v>
      </c>
      <c r="E78" s="24" t="n">
        <v>0.004177103426</v>
      </c>
      <c r="F78" s="16" t="n"/>
      <c r="G78" s="16" t="n"/>
    </row>
    <row r="79">
      <c r="A79" s="15" t="inlineStr">
        <is>
          <t>bracket_interpolation</t>
        </is>
      </c>
      <c r="B79" s="15" t="inlineStr">
        <is>
          <t>strong_demand/narrow_supply/none_reverse/low_noise</t>
        </is>
      </c>
      <c r="C79" s="12" t="n">
        <v>20</v>
      </c>
      <c r="D79" s="19" t="n">
        <v>0.003799720822</v>
      </c>
      <c r="E79" s="24" t="n">
        <v>0.004068041297</v>
      </c>
      <c r="F79" s="16" t="n"/>
      <c r="G79" s="16" t="n"/>
    </row>
    <row r="80">
      <c r="A80" s="15" t="inlineStr">
        <is>
          <t>bracket_interpolation</t>
        </is>
      </c>
      <c r="B80" s="15" t="inlineStr">
        <is>
          <t>strong_demand/narrow_supply/strong_reverse/high_noise</t>
        </is>
      </c>
      <c r="C80" s="12" t="n">
        <v>20</v>
      </c>
      <c r="D80" s="19" t="n">
        <v>0.002707784743</v>
      </c>
      <c r="E80" s="24" t="n">
        <v>0.002900362779</v>
      </c>
      <c r="F80" s="16" t="n"/>
      <c r="G80" s="16" t="n"/>
    </row>
    <row r="81">
      <c r="A81" s="15" t="inlineStr">
        <is>
          <t>bracket_interpolation</t>
        </is>
      </c>
      <c r="B81" s="15" t="inlineStr">
        <is>
          <t>strong_demand/narrow_supply/strong_reverse/low_noise</t>
        </is>
      </c>
      <c r="C81" s="12" t="n">
        <v>20</v>
      </c>
      <c r="D81" s="19" t="n">
        <v>0.002528821071</v>
      </c>
      <c r="E81" s="24" t="n">
        <v>0.002622254699</v>
      </c>
      <c r="F81" s="16" t="n"/>
      <c r="G81" s="16" t="n"/>
    </row>
    <row r="82">
      <c r="A82" s="15" t="inlineStr">
        <is>
          <t>bracket_interpolation</t>
        </is>
      </c>
      <c r="B82" s="15" t="inlineStr">
        <is>
          <t>strong_demand/wide_supply/mild_reverse/high_noise</t>
        </is>
      </c>
      <c r="C82" s="12" t="n">
        <v>20</v>
      </c>
      <c r="D82" s="19" t="n">
        <v>0.003639932552</v>
      </c>
      <c r="E82" s="24" t="n">
        <v>0.00389383515</v>
      </c>
      <c r="F82" s="16" t="n"/>
      <c r="G82" s="16" t="n"/>
    </row>
    <row r="83">
      <c r="A83" s="15" t="inlineStr">
        <is>
          <t>bracket_interpolation</t>
        </is>
      </c>
      <c r="B83" s="15" t="inlineStr">
        <is>
          <t>strong_demand/wide_supply/mild_reverse/low_noise</t>
        </is>
      </c>
      <c r="C83" s="12" t="n">
        <v>20</v>
      </c>
      <c r="D83" s="19" t="n">
        <v>0.003435017289</v>
      </c>
      <c r="E83" s="24" t="n">
        <v>0.003717252161</v>
      </c>
      <c r="F83" s="16" t="n"/>
      <c r="G83" s="16" t="n"/>
    </row>
    <row r="84">
      <c r="A84" s="15" t="inlineStr">
        <is>
          <t>bracket_interpolation</t>
        </is>
      </c>
      <c r="B84" s="15" t="inlineStr">
        <is>
          <t>strong_demand/wide_supply/none_reverse/high_noise</t>
        </is>
      </c>
      <c r="C84" s="12" t="n">
        <v>20</v>
      </c>
      <c r="D84" s="19" t="n">
        <v>0.003891396234</v>
      </c>
      <c r="E84" s="24" t="n">
        <v>0.004109752113</v>
      </c>
      <c r="F84" s="16" t="n"/>
      <c r="G84" s="16" t="n"/>
    </row>
    <row r="85">
      <c r="A85" s="15" t="inlineStr">
        <is>
          <t>bracket_interpolation</t>
        </is>
      </c>
      <c r="B85" s="15" t="inlineStr">
        <is>
          <t>strong_demand/wide_supply/none_reverse/low_noise</t>
        </is>
      </c>
      <c r="C85" s="12" t="n">
        <v>20</v>
      </c>
      <c r="D85" s="19" t="n">
        <v>0.003720188659</v>
      </c>
      <c r="E85" s="24" t="n">
        <v>0.0039731928</v>
      </c>
      <c r="F85" s="16" t="n"/>
      <c r="G85" s="16" t="n"/>
    </row>
    <row r="86">
      <c r="A86" s="15" t="inlineStr">
        <is>
          <t>bracket_interpolation</t>
        </is>
      </c>
      <c r="B86" s="15" t="inlineStr">
        <is>
          <t>strong_demand/wide_supply/strong_reverse/high_noise</t>
        </is>
      </c>
      <c r="C86" s="12" t="n">
        <v>20</v>
      </c>
      <c r="D86" s="19" t="n">
        <v>0.00268219538</v>
      </c>
      <c r="E86" s="24" t="n">
        <v>0.002862987503</v>
      </c>
      <c r="F86" s="16" t="n"/>
      <c r="G86" s="16" t="n"/>
    </row>
    <row r="87">
      <c r="A87" s="15" t="inlineStr">
        <is>
          <t>bracket_interpolation</t>
        </is>
      </c>
      <c r="B87" s="15" t="inlineStr">
        <is>
          <t>strong_demand/wide_supply/strong_reverse/low_noise</t>
        </is>
      </c>
      <c r="C87" s="12" t="n">
        <v>20</v>
      </c>
      <c r="D87" s="19" t="n">
        <v>0.002527834028</v>
      </c>
      <c r="E87" s="24" t="n">
        <v>0.002623907909</v>
      </c>
      <c r="F87" s="16" t="n"/>
      <c r="G87" s="16" t="n"/>
    </row>
    <row r="88">
      <c r="A88" s="15" t="inlineStr">
        <is>
          <t>bracket_interpolation</t>
        </is>
      </c>
      <c r="B88" s="15" t="inlineStr">
        <is>
          <t>weak_demand/narrow_supply/mild_reverse/high_noise</t>
        </is>
      </c>
      <c r="C88" s="12" t="n">
        <v>20</v>
      </c>
      <c r="D88" s="19" t="n">
        <v>0.004033621864</v>
      </c>
      <c r="E88" s="24" t="n">
        <v>0.004212779824</v>
      </c>
      <c r="F88" s="16" t="n"/>
      <c r="G88" s="16" t="n"/>
    </row>
    <row r="89">
      <c r="A89" s="15" t="inlineStr">
        <is>
          <t>bracket_interpolation</t>
        </is>
      </c>
      <c r="B89" s="15" t="inlineStr">
        <is>
          <t>weak_demand/narrow_supply/mild_reverse/low_noise</t>
        </is>
      </c>
      <c r="C89" s="12" t="n">
        <v>20</v>
      </c>
      <c r="D89" s="19" t="n">
        <v>0.003970609642</v>
      </c>
      <c r="E89" s="24" t="n">
        <v>0.004103734189</v>
      </c>
      <c r="F89" s="16" t="n"/>
      <c r="G89" s="16" t="n"/>
    </row>
    <row r="90">
      <c r="A90" s="15" t="inlineStr">
        <is>
          <t>bracket_interpolation</t>
        </is>
      </c>
      <c r="B90" s="15" t="inlineStr">
        <is>
          <t>weak_demand/narrow_supply/none_reverse/high_noise</t>
        </is>
      </c>
      <c r="C90" s="12" t="n">
        <v>20</v>
      </c>
      <c r="D90" s="19" t="n">
        <v>0.003850257189</v>
      </c>
      <c r="E90" s="24" t="n">
        <v>0.004051564877</v>
      </c>
      <c r="F90" s="16" t="n"/>
      <c r="G90" s="16" t="n"/>
    </row>
    <row r="91">
      <c r="A91" s="15" t="inlineStr">
        <is>
          <t>bracket_interpolation</t>
        </is>
      </c>
      <c r="B91" s="15" t="inlineStr">
        <is>
          <t>weak_demand/narrow_supply/none_reverse/low_noise</t>
        </is>
      </c>
      <c r="C91" s="12" t="n">
        <v>20</v>
      </c>
      <c r="D91" s="19" t="n">
        <v>0.003862313005</v>
      </c>
      <c r="E91" s="24" t="n">
        <v>0.00401899622</v>
      </c>
      <c r="F91" s="16" t="n"/>
      <c r="G91" s="16" t="n"/>
    </row>
    <row r="92">
      <c r="A92" s="15" t="inlineStr">
        <is>
          <t>bracket_interpolation</t>
        </is>
      </c>
      <c r="B92" s="15" t="inlineStr">
        <is>
          <t>weak_demand/narrow_supply/strong_reverse/high_noise</t>
        </is>
      </c>
      <c r="C92" s="12" t="n">
        <v>20</v>
      </c>
      <c r="D92" s="19" t="n">
        <v>0.004438300581</v>
      </c>
      <c r="E92" s="24" t="n">
        <v>0.004626753824</v>
      </c>
      <c r="F92" s="16" t="n"/>
      <c r="G92" s="16" t="n"/>
    </row>
    <row r="93">
      <c r="A93" s="15" t="inlineStr">
        <is>
          <t>bracket_interpolation</t>
        </is>
      </c>
      <c r="B93" s="15" t="inlineStr">
        <is>
          <t>weak_demand/narrow_supply/strong_reverse/low_noise</t>
        </is>
      </c>
      <c r="C93" s="12" t="n">
        <v>20</v>
      </c>
      <c r="D93" s="19" t="n">
        <v>0.004350136196</v>
      </c>
      <c r="E93" s="24" t="n">
        <v>0.004496382925</v>
      </c>
      <c r="F93" s="16" t="n"/>
      <c r="G93" s="16" t="n"/>
    </row>
    <row r="94">
      <c r="A94" s="15" t="inlineStr">
        <is>
          <t>bracket_interpolation</t>
        </is>
      </c>
      <c r="B94" s="15" t="inlineStr">
        <is>
          <t>weak_demand/wide_supply/mild_reverse/high_noise</t>
        </is>
      </c>
      <c r="C94" s="12" t="n">
        <v>20</v>
      </c>
      <c r="D94" s="19" t="n">
        <v>0.004021311336</v>
      </c>
      <c r="E94" s="24" t="n">
        <v>0.004225112856</v>
      </c>
      <c r="F94" s="16" t="n"/>
      <c r="G94" s="16" t="n"/>
    </row>
    <row r="95">
      <c r="A95" s="15" t="inlineStr">
        <is>
          <t>bracket_interpolation</t>
        </is>
      </c>
      <c r="B95" s="15" t="inlineStr">
        <is>
          <t>weak_demand/wide_supply/mild_reverse/low_noise</t>
        </is>
      </c>
      <c r="C95" s="12" t="n">
        <v>20</v>
      </c>
      <c r="D95" s="19" t="n">
        <v>0.003993804599</v>
      </c>
      <c r="E95" s="24" t="n">
        <v>0.004138022464</v>
      </c>
      <c r="F95" s="16" t="n"/>
      <c r="G95" s="16" t="n"/>
    </row>
    <row r="96">
      <c r="A96" s="15" t="inlineStr">
        <is>
          <t>bracket_interpolation</t>
        </is>
      </c>
      <c r="B96" s="15" t="inlineStr">
        <is>
          <t>weak_demand/wide_supply/none_reverse/high_noise</t>
        </is>
      </c>
      <c r="C96" s="12" t="n">
        <v>20</v>
      </c>
      <c r="D96" s="19" t="n">
        <v>0.003883508195</v>
      </c>
      <c r="E96" s="24" t="n">
        <v>0.00408637503</v>
      </c>
      <c r="F96" s="16" t="n"/>
      <c r="G96" s="16" t="n"/>
    </row>
    <row r="97">
      <c r="A97" s="15" t="inlineStr">
        <is>
          <t>bracket_interpolation</t>
        </is>
      </c>
      <c r="B97" s="15" t="inlineStr">
        <is>
          <t>weak_demand/wide_supply/none_reverse/low_noise</t>
        </is>
      </c>
      <c r="C97" s="12" t="n">
        <v>20</v>
      </c>
      <c r="D97" s="19" t="n">
        <v>0.003896141572</v>
      </c>
      <c r="E97" s="24" t="n">
        <v>0.004062864875</v>
      </c>
      <c r="F97" s="16" t="n"/>
      <c r="G97" s="16" t="n"/>
    </row>
    <row r="98">
      <c r="A98" s="15" t="inlineStr">
        <is>
          <t>bracket_interpolation</t>
        </is>
      </c>
      <c r="B98" s="15" t="inlineStr">
        <is>
          <t>weak_demand/wide_supply/strong_reverse/high_noise</t>
        </is>
      </c>
      <c r="C98" s="12" t="n">
        <v>20</v>
      </c>
      <c r="D98" s="19" t="n">
        <v>0.004322298477</v>
      </c>
      <c r="E98" s="24" t="n">
        <v>0.004542690031</v>
      </c>
      <c r="F98" s="16" t="n"/>
      <c r="G98" s="16" t="n"/>
    </row>
    <row r="99">
      <c r="A99" s="15" t="inlineStr">
        <is>
          <t>bracket_interpolation</t>
        </is>
      </c>
      <c r="B99" s="15" t="inlineStr">
        <is>
          <t>weak_demand/wide_supply/strong_reverse/low_noise</t>
        </is>
      </c>
      <c r="C99" s="12" t="n">
        <v>20</v>
      </c>
      <c r="D99" s="19" t="n">
        <v>0.004304346061</v>
      </c>
      <c r="E99" s="24" t="n">
        <v>0.004471893778</v>
      </c>
      <c r="F99" s="16" t="n"/>
      <c r="G99" s="16" t="n"/>
    </row>
    <row r="100">
      <c r="A100" s="15" t="inlineStr">
        <is>
          <t>breakeven_horizon</t>
        </is>
      </c>
      <c r="B100" s="15" t="inlineStr">
        <is>
          <t>strong_demand/narrow_supply/mild_reverse/high_noise</t>
        </is>
      </c>
      <c r="C100" s="12" t="n">
        <v>20</v>
      </c>
      <c r="D100" s="19" t="n">
        <v>4.242592593</v>
      </c>
      <c r="E100" s="24" t="n">
        <v>4.271971769</v>
      </c>
      <c r="F100" s="16" t="n"/>
      <c r="G100" s="16" t="n">
        <v>0.7212962963</v>
      </c>
    </row>
    <row r="101">
      <c r="A101" s="15" t="inlineStr">
        <is>
          <t>breakeven_horizon</t>
        </is>
      </c>
      <c r="B101" s="15" t="inlineStr">
        <is>
          <t>strong_demand/narrow_supply/mild_reverse/low_noise</t>
        </is>
      </c>
      <c r="C101" s="12" t="n">
        <v>20</v>
      </c>
      <c r="D101" s="19" t="n">
        <v>4.294907407</v>
      </c>
      <c r="E101" s="24" t="n">
        <v>4.326774179</v>
      </c>
      <c r="F101" s="16" t="n"/>
      <c r="G101" s="16" t="n">
        <v>0.7037037037</v>
      </c>
    </row>
    <row r="102">
      <c r="A102" s="15" t="inlineStr">
        <is>
          <t>breakeven_horizon</t>
        </is>
      </c>
      <c r="B102" s="15" t="inlineStr">
        <is>
          <t>strong_demand/narrow_supply/none_reverse/high_noise</t>
        </is>
      </c>
      <c r="C102" s="12" t="n">
        <v>20</v>
      </c>
      <c r="D102" s="19" t="n">
        <v>4.323148148</v>
      </c>
      <c r="E102" s="24" t="n">
        <v>4.355460482</v>
      </c>
      <c r="F102" s="16" t="n"/>
      <c r="G102" s="16" t="n">
        <v>0.7148148148</v>
      </c>
    </row>
    <row r="103">
      <c r="A103" s="15" t="inlineStr">
        <is>
          <t>breakeven_horizon</t>
        </is>
      </c>
      <c r="B103" s="15" t="inlineStr">
        <is>
          <t>strong_demand/narrow_supply/none_reverse/low_noise</t>
        </is>
      </c>
      <c r="C103" s="12" t="n">
        <v>20</v>
      </c>
      <c r="D103" s="19" t="n">
        <v>4.498148148</v>
      </c>
      <c r="E103" s="24" t="n">
        <v>4.531238736</v>
      </c>
      <c r="F103" s="16" t="n"/>
      <c r="G103" s="16" t="n">
        <v>0.712037037</v>
      </c>
    </row>
    <row r="104">
      <c r="A104" s="15" t="inlineStr">
        <is>
          <t>breakeven_horizon</t>
        </is>
      </c>
      <c r="B104" s="15" t="inlineStr">
        <is>
          <t>strong_demand/narrow_supply/strong_reverse/high_noise</t>
        </is>
      </c>
      <c r="C104" s="12" t="n">
        <v>20</v>
      </c>
      <c r="D104" s="19" t="n">
        <v>3.962962963</v>
      </c>
      <c r="E104" s="24" t="n">
        <v>3.993837417</v>
      </c>
      <c r="F104" s="16" t="n"/>
      <c r="G104" s="16" t="n">
        <v>0.7138888889</v>
      </c>
    </row>
    <row r="105">
      <c r="A105" s="15" t="inlineStr">
        <is>
          <t>breakeven_horizon</t>
        </is>
      </c>
      <c r="B105" s="15" t="inlineStr">
        <is>
          <t>strong_demand/narrow_supply/strong_reverse/low_noise</t>
        </is>
      </c>
      <c r="C105" s="12" t="n">
        <v>20</v>
      </c>
      <c r="D105" s="19" t="n">
        <v>3.846296296</v>
      </c>
      <c r="E105" s="24" t="n">
        <v>3.881721791</v>
      </c>
      <c r="F105" s="16" t="n"/>
      <c r="G105" s="16" t="n">
        <v>0.6824074074000001</v>
      </c>
    </row>
    <row r="106">
      <c r="A106" s="15" t="inlineStr">
        <is>
          <t>breakeven_horizon</t>
        </is>
      </c>
      <c r="B106" s="15" t="inlineStr">
        <is>
          <t>strong_demand/wide_supply/mild_reverse/high_noise</t>
        </is>
      </c>
      <c r="C106" s="12" t="n">
        <v>20</v>
      </c>
      <c r="D106" s="19" t="n">
        <v>4.215277778</v>
      </c>
      <c r="E106" s="24" t="n">
        <v>4.243877721</v>
      </c>
      <c r="F106" s="16" t="n"/>
      <c r="G106" s="16" t="n">
        <v>0.7259259259</v>
      </c>
    </row>
    <row r="107">
      <c r="A107" s="15" t="inlineStr">
        <is>
          <t>breakeven_horizon</t>
        </is>
      </c>
      <c r="B107" s="15" t="inlineStr">
        <is>
          <t>strong_demand/wide_supply/mild_reverse/low_noise</t>
        </is>
      </c>
      <c r="C107" s="12" t="n">
        <v>20</v>
      </c>
      <c r="D107" s="19" t="n">
        <v>4.292592593</v>
      </c>
      <c r="E107" s="24" t="n">
        <v>4.326048403</v>
      </c>
      <c r="F107" s="16" t="n"/>
      <c r="G107" s="16" t="n">
        <v>0.7037037037</v>
      </c>
    </row>
    <row r="108">
      <c r="A108" s="15" t="inlineStr">
        <is>
          <t>breakeven_horizon</t>
        </is>
      </c>
      <c r="B108" s="15" t="inlineStr">
        <is>
          <t>strong_demand/wide_supply/none_reverse/high_noise</t>
        </is>
      </c>
      <c r="C108" s="12" t="n">
        <v>20</v>
      </c>
      <c r="D108" s="19" t="n">
        <v>4.309259259</v>
      </c>
      <c r="E108" s="24" t="n">
        <v>4.340913163</v>
      </c>
      <c r="F108" s="16" t="n"/>
      <c r="G108" s="16" t="n">
        <v>0.7166666667</v>
      </c>
    </row>
    <row r="109">
      <c r="A109" s="15" t="inlineStr">
        <is>
          <t>breakeven_horizon</t>
        </is>
      </c>
      <c r="B109" s="15" t="inlineStr">
        <is>
          <t>strong_demand/wide_supply/none_reverse/low_noise</t>
        </is>
      </c>
      <c r="C109" s="12" t="n">
        <v>20</v>
      </c>
      <c r="D109" s="19" t="n">
        <v>4.467592593</v>
      </c>
      <c r="E109" s="24" t="n">
        <v>4.500681057</v>
      </c>
      <c r="F109" s="16" t="n"/>
      <c r="G109" s="16" t="n">
        <v>0.7018518519</v>
      </c>
    </row>
    <row r="110">
      <c r="A110" s="15" t="inlineStr">
        <is>
          <t>breakeven_horizon</t>
        </is>
      </c>
      <c r="B110" s="15" t="inlineStr">
        <is>
          <t>strong_demand/wide_supply/strong_reverse/high_noise</t>
        </is>
      </c>
      <c r="C110" s="12" t="n">
        <v>20</v>
      </c>
      <c r="D110" s="19" t="n">
        <v>3.891666667</v>
      </c>
      <c r="E110" s="24" t="n">
        <v>3.925239065</v>
      </c>
      <c r="F110" s="16" t="n"/>
      <c r="G110" s="16" t="n">
        <v>0.7194444444</v>
      </c>
    </row>
    <row r="111">
      <c r="A111" s="15" t="inlineStr">
        <is>
          <t>breakeven_horizon</t>
        </is>
      </c>
      <c r="B111" s="15" t="inlineStr">
        <is>
          <t>strong_demand/wide_supply/strong_reverse/low_noise</t>
        </is>
      </c>
      <c r="C111" s="12" t="n">
        <v>20</v>
      </c>
      <c r="D111" s="19" t="n">
        <v>3.7875</v>
      </c>
      <c r="E111" s="24" t="n">
        <v>3.823269689</v>
      </c>
      <c r="F111" s="16" t="n"/>
      <c r="G111" s="16" t="n">
        <v>0.6925925925999999</v>
      </c>
    </row>
    <row r="112">
      <c r="A112" s="15" t="inlineStr">
        <is>
          <t>breakeven_horizon</t>
        </is>
      </c>
      <c r="B112" s="15" t="inlineStr">
        <is>
          <t>weak_demand/narrow_supply/mild_reverse/high_noise</t>
        </is>
      </c>
      <c r="C112" s="12" t="n">
        <v>20</v>
      </c>
      <c r="D112" s="19" t="n">
        <v>4.582407407</v>
      </c>
      <c r="E112" s="24" t="n">
        <v>4.600673334</v>
      </c>
      <c r="F112" s="16" t="n"/>
      <c r="G112" s="16" t="n">
        <v>0.6787037037</v>
      </c>
    </row>
    <row r="113">
      <c r="A113" s="15" t="inlineStr">
        <is>
          <t>breakeven_horizon</t>
        </is>
      </c>
      <c r="B113" s="15" t="inlineStr">
        <is>
          <t>weak_demand/narrow_supply/mild_reverse/low_noise</t>
        </is>
      </c>
      <c r="C113" s="12" t="n">
        <v>20</v>
      </c>
      <c r="D113" s="19" t="n">
        <v>4.766203704</v>
      </c>
      <c r="E113" s="24" t="n">
        <v>4.782469255</v>
      </c>
      <c r="F113" s="16" t="n"/>
      <c r="G113" s="16" t="n">
        <v>0.6796296296</v>
      </c>
    </row>
    <row r="114">
      <c r="A114" s="15" t="inlineStr">
        <is>
          <t>breakeven_horizon</t>
        </is>
      </c>
      <c r="B114" s="15" t="inlineStr">
        <is>
          <t>weak_demand/narrow_supply/none_reverse/high_noise</t>
        </is>
      </c>
      <c r="C114" s="12" t="n">
        <v>20</v>
      </c>
      <c r="D114" s="19" t="n">
        <v>4.59537037</v>
      </c>
      <c r="E114" s="24" t="n">
        <v>4.612752571</v>
      </c>
      <c r="F114" s="16" t="n"/>
      <c r="G114" s="16" t="n">
        <v>0.6703703704</v>
      </c>
    </row>
    <row r="115">
      <c r="A115" s="15" t="inlineStr">
        <is>
          <t>breakeven_horizon</t>
        </is>
      </c>
      <c r="B115" s="15" t="inlineStr">
        <is>
          <t>weak_demand/narrow_supply/none_reverse/low_noise</t>
        </is>
      </c>
      <c r="C115" s="12" t="n">
        <v>20</v>
      </c>
      <c r="D115" s="19" t="n">
        <v>4.708333333</v>
      </c>
      <c r="E115" s="24" t="n">
        <v>4.728062837</v>
      </c>
      <c r="F115" s="16" t="n"/>
      <c r="G115" s="16" t="n">
        <v>0.6787037037</v>
      </c>
    </row>
    <row r="116">
      <c r="A116" s="15" t="inlineStr">
        <is>
          <t>breakeven_horizon</t>
        </is>
      </c>
      <c r="B116" s="15" t="inlineStr">
        <is>
          <t>weak_demand/narrow_supply/strong_reverse/high_noise</t>
        </is>
      </c>
      <c r="C116" s="12" t="n">
        <v>20</v>
      </c>
      <c r="D116" s="19" t="n">
        <v>4.600925926</v>
      </c>
      <c r="E116" s="24" t="n">
        <v>4.620147697</v>
      </c>
      <c r="F116" s="16" t="n"/>
      <c r="G116" s="16" t="n">
        <v>0.6935185185</v>
      </c>
    </row>
    <row r="117">
      <c r="A117" s="15" t="inlineStr">
        <is>
          <t>breakeven_horizon</t>
        </is>
      </c>
      <c r="B117" s="15" t="inlineStr">
        <is>
          <t>weak_demand/narrow_supply/strong_reverse/low_noise</t>
        </is>
      </c>
      <c r="C117" s="12" t="n">
        <v>20</v>
      </c>
      <c r="D117" s="19" t="n">
        <v>4.787962963</v>
      </c>
      <c r="E117" s="24" t="n">
        <v>4.803317826</v>
      </c>
      <c r="F117" s="16" t="n"/>
      <c r="G117" s="16" t="n">
        <v>0.6972222222</v>
      </c>
    </row>
    <row r="118">
      <c r="A118" s="15" t="inlineStr">
        <is>
          <t>breakeven_horizon</t>
        </is>
      </c>
      <c r="B118" s="15" t="inlineStr">
        <is>
          <t>weak_demand/wide_supply/mild_reverse/high_noise</t>
        </is>
      </c>
      <c r="C118" s="12" t="n">
        <v>20</v>
      </c>
      <c r="D118" s="19" t="n">
        <v>4.589814815</v>
      </c>
      <c r="E118" s="24" t="n">
        <v>4.606926742</v>
      </c>
      <c r="F118" s="16" t="n"/>
      <c r="G118" s="16" t="n">
        <v>0.6740740741</v>
      </c>
    </row>
    <row r="119">
      <c r="A119" s="15" t="inlineStr">
        <is>
          <t>breakeven_horizon</t>
        </is>
      </c>
      <c r="B119" s="15" t="inlineStr">
        <is>
          <t>weak_demand/wide_supply/mild_reverse/low_noise</t>
        </is>
      </c>
      <c r="C119" s="12" t="n">
        <v>20</v>
      </c>
      <c r="D119" s="19" t="n">
        <v>4.737962963</v>
      </c>
      <c r="E119" s="24" t="n">
        <v>4.752954644</v>
      </c>
      <c r="F119" s="16" t="n"/>
      <c r="G119" s="16" t="n">
        <v>0.6888888889</v>
      </c>
    </row>
    <row r="120">
      <c r="A120" s="15" t="inlineStr">
        <is>
          <t>breakeven_horizon</t>
        </is>
      </c>
      <c r="B120" s="15" t="inlineStr">
        <is>
          <t>weak_demand/wide_supply/none_reverse/high_noise</t>
        </is>
      </c>
      <c r="C120" s="12" t="n">
        <v>20</v>
      </c>
      <c r="D120" s="19" t="n">
        <v>4.594907407</v>
      </c>
      <c r="E120" s="24" t="n">
        <v>4.611395109</v>
      </c>
      <c r="F120" s="16" t="n"/>
      <c r="G120" s="16" t="n">
        <v>0.6787037037</v>
      </c>
    </row>
    <row r="121">
      <c r="A121" s="15" t="inlineStr">
        <is>
          <t>breakeven_horizon</t>
        </is>
      </c>
      <c r="B121" s="15" t="inlineStr">
        <is>
          <t>weak_demand/wide_supply/none_reverse/low_noise</t>
        </is>
      </c>
      <c r="C121" s="12" t="n">
        <v>20</v>
      </c>
      <c r="D121" s="19" t="n">
        <v>4.670833333</v>
      </c>
      <c r="E121" s="24" t="n">
        <v>4.687035299</v>
      </c>
      <c r="F121" s="16" t="n"/>
      <c r="G121" s="16" t="n">
        <v>0.6824074074000001</v>
      </c>
    </row>
    <row r="122">
      <c r="A122" s="15" t="inlineStr">
        <is>
          <t>breakeven_horizon</t>
        </is>
      </c>
      <c r="B122" s="15" t="inlineStr">
        <is>
          <t>weak_demand/wide_supply/strong_reverse/high_noise</t>
        </is>
      </c>
      <c r="C122" s="12" t="n">
        <v>20</v>
      </c>
      <c r="D122" s="19" t="n">
        <v>4.532407407</v>
      </c>
      <c r="E122" s="24" t="n">
        <v>4.550587286</v>
      </c>
      <c r="F122" s="16" t="n"/>
      <c r="G122" s="16" t="n">
        <v>0.6962962963</v>
      </c>
    </row>
    <row r="123">
      <c r="A123" s="15" t="inlineStr">
        <is>
          <t>breakeven_horizon</t>
        </is>
      </c>
      <c r="B123" s="15" t="inlineStr">
        <is>
          <t>weak_demand/wide_supply/strong_reverse/low_noise</t>
        </is>
      </c>
      <c r="C123" s="12" t="n">
        <v>20</v>
      </c>
      <c r="D123" s="19" t="n">
        <v>4.703240741</v>
      </c>
      <c r="E123" s="24" t="n">
        <v>4.719494946</v>
      </c>
      <c r="F123" s="16" t="n"/>
      <c r="G123" s="16" t="n">
        <v>0.7194444444</v>
      </c>
    </row>
    <row r="124">
      <c r="A124" s="15" t="inlineStr">
        <is>
          <t>burden_changepoint</t>
        </is>
      </c>
      <c r="B124" s="15" t="inlineStr">
        <is>
          <t>strong_demand/narrow_supply/mild_reverse/high_noise</t>
        </is>
      </c>
      <c r="C124" s="12" t="n">
        <v>20</v>
      </c>
      <c r="D124" s="19" t="n">
        <v>0</v>
      </c>
      <c r="E124" s="24" t="n">
        <v>0</v>
      </c>
      <c r="F124" s="16" t="n"/>
      <c r="G124" s="16" t="n">
        <v>1</v>
      </c>
    </row>
    <row r="125">
      <c r="A125" s="15" t="inlineStr">
        <is>
          <t>burden_changepoint</t>
        </is>
      </c>
      <c r="B125" s="15" t="inlineStr">
        <is>
          <t>strong_demand/narrow_supply/mild_reverse/low_noise</t>
        </is>
      </c>
      <c r="C125" s="12" t="n">
        <v>20</v>
      </c>
      <c r="D125" s="19" t="n">
        <v>0</v>
      </c>
      <c r="E125" s="24" t="n">
        <v>0</v>
      </c>
      <c r="F125" s="16" t="n"/>
      <c r="G125" s="16" t="n">
        <v>1</v>
      </c>
    </row>
    <row r="126">
      <c r="A126" s="15" t="inlineStr">
        <is>
          <t>burden_changepoint</t>
        </is>
      </c>
      <c r="B126" s="15" t="inlineStr">
        <is>
          <t>strong_demand/narrow_supply/none_reverse/high_noise</t>
        </is>
      </c>
      <c r="C126" s="12" t="n">
        <v>20</v>
      </c>
      <c r="D126" s="19" t="n">
        <v>0</v>
      </c>
      <c r="E126" s="24" t="n">
        <v>0</v>
      </c>
      <c r="F126" s="16" t="n"/>
      <c r="G126" s="16" t="n">
        <v>1</v>
      </c>
    </row>
    <row r="127">
      <c r="A127" s="15" t="inlineStr">
        <is>
          <t>burden_changepoint</t>
        </is>
      </c>
      <c r="B127" s="15" t="inlineStr">
        <is>
          <t>strong_demand/narrow_supply/none_reverse/low_noise</t>
        </is>
      </c>
      <c r="C127" s="12" t="n">
        <v>20</v>
      </c>
      <c r="D127" s="19" t="n">
        <v>0</v>
      </c>
      <c r="E127" s="24" t="n">
        <v>0</v>
      </c>
      <c r="F127" s="16" t="n"/>
      <c r="G127" s="16" t="n">
        <v>1</v>
      </c>
    </row>
    <row r="128">
      <c r="A128" s="15" t="inlineStr">
        <is>
          <t>burden_changepoint</t>
        </is>
      </c>
      <c r="B128" s="15" t="inlineStr">
        <is>
          <t>strong_demand/narrow_supply/strong_reverse/high_noise</t>
        </is>
      </c>
      <c r="C128" s="12" t="n">
        <v>20</v>
      </c>
      <c r="D128" s="19" t="n">
        <v>0</v>
      </c>
      <c r="E128" s="24" t="n">
        <v>0</v>
      </c>
      <c r="F128" s="16" t="n"/>
      <c r="G128" s="16" t="n">
        <v>1</v>
      </c>
    </row>
    <row r="129">
      <c r="A129" s="15" t="inlineStr">
        <is>
          <t>burden_changepoint</t>
        </is>
      </c>
      <c r="B129" s="15" t="inlineStr">
        <is>
          <t>strong_demand/narrow_supply/strong_reverse/low_noise</t>
        </is>
      </c>
      <c r="C129" s="12" t="n">
        <v>20</v>
      </c>
      <c r="D129" s="19" t="n">
        <v>0.05</v>
      </c>
      <c r="E129" s="24" t="n">
        <v>0.2236067977</v>
      </c>
      <c r="F129" s="16" t="n"/>
      <c r="G129" s="16" t="n">
        <v>1</v>
      </c>
    </row>
    <row r="130">
      <c r="A130" s="15" t="inlineStr">
        <is>
          <t>burden_changepoint</t>
        </is>
      </c>
      <c r="B130" s="15" t="inlineStr">
        <is>
          <t>strong_demand/wide_supply/mild_reverse/high_noise</t>
        </is>
      </c>
      <c r="C130" s="12" t="n">
        <v>20</v>
      </c>
      <c r="D130" s="19" t="n">
        <v>0</v>
      </c>
      <c r="E130" s="24" t="n">
        <v>0</v>
      </c>
      <c r="F130" s="16" t="n"/>
      <c r="G130" s="16" t="n">
        <v>1</v>
      </c>
    </row>
    <row r="131">
      <c r="A131" s="15" t="inlineStr">
        <is>
          <t>burden_changepoint</t>
        </is>
      </c>
      <c r="B131" s="15" t="inlineStr">
        <is>
          <t>strong_demand/wide_supply/mild_reverse/low_noise</t>
        </is>
      </c>
      <c r="C131" s="12" t="n">
        <v>20</v>
      </c>
      <c r="D131" s="19" t="n">
        <v>0</v>
      </c>
      <c r="E131" s="24" t="n">
        <v>0</v>
      </c>
      <c r="F131" s="16" t="n"/>
      <c r="G131" s="16" t="n">
        <v>1</v>
      </c>
    </row>
    <row r="132">
      <c r="A132" s="15" t="inlineStr">
        <is>
          <t>burden_changepoint</t>
        </is>
      </c>
      <c r="B132" s="15" t="inlineStr">
        <is>
          <t>strong_demand/wide_supply/none_reverse/high_noise</t>
        </is>
      </c>
      <c r="C132" s="12" t="n">
        <v>20</v>
      </c>
      <c r="D132" s="19" t="n">
        <v>0</v>
      </c>
      <c r="E132" s="24" t="n">
        <v>0</v>
      </c>
      <c r="F132" s="16" t="n"/>
      <c r="G132" s="16" t="n">
        <v>1</v>
      </c>
    </row>
    <row r="133">
      <c r="A133" s="15" t="inlineStr">
        <is>
          <t>burden_changepoint</t>
        </is>
      </c>
      <c r="B133" s="15" t="inlineStr">
        <is>
          <t>strong_demand/wide_supply/none_reverse/low_noise</t>
        </is>
      </c>
      <c r="C133" s="12" t="n">
        <v>20</v>
      </c>
      <c r="D133" s="19" t="n">
        <v>0</v>
      </c>
      <c r="E133" s="24" t="n">
        <v>0</v>
      </c>
      <c r="F133" s="16" t="n"/>
      <c r="G133" s="16" t="n">
        <v>1</v>
      </c>
    </row>
    <row r="134">
      <c r="A134" s="15" t="inlineStr">
        <is>
          <t>burden_changepoint</t>
        </is>
      </c>
      <c r="B134" s="15" t="inlineStr">
        <is>
          <t>strong_demand/wide_supply/strong_reverse/high_noise</t>
        </is>
      </c>
      <c r="C134" s="12" t="n">
        <v>20</v>
      </c>
      <c r="D134" s="19" t="n">
        <v>0</v>
      </c>
      <c r="E134" s="24" t="n">
        <v>0</v>
      </c>
      <c r="F134" s="16" t="n"/>
      <c r="G134" s="16" t="n">
        <v>1</v>
      </c>
    </row>
    <row r="135">
      <c r="A135" s="15" t="inlineStr">
        <is>
          <t>burden_changepoint</t>
        </is>
      </c>
      <c r="B135" s="15" t="inlineStr">
        <is>
          <t>strong_demand/wide_supply/strong_reverse/low_noise</t>
        </is>
      </c>
      <c r="C135" s="12" t="n">
        <v>20</v>
      </c>
      <c r="D135" s="19" t="n">
        <v>0.05</v>
      </c>
      <c r="E135" s="24" t="n">
        <v>0.2236067977</v>
      </c>
      <c r="F135" s="16" t="n"/>
      <c r="G135" s="16" t="n">
        <v>1</v>
      </c>
    </row>
    <row r="136">
      <c r="A136" s="15" t="inlineStr">
        <is>
          <t>burden_changepoint</t>
        </is>
      </c>
      <c r="B136" s="15" t="inlineStr">
        <is>
          <t>weak_demand/narrow_supply/mild_reverse/high_noise</t>
        </is>
      </c>
      <c r="C136" s="12" t="n">
        <v>20</v>
      </c>
      <c r="D136" s="19" t="n">
        <v>0</v>
      </c>
      <c r="E136" s="24" t="n">
        <v>0</v>
      </c>
      <c r="F136" s="16" t="n"/>
      <c r="G136" s="16" t="n">
        <v>1</v>
      </c>
    </row>
    <row r="137">
      <c r="A137" s="15" t="inlineStr">
        <is>
          <t>burden_changepoint</t>
        </is>
      </c>
      <c r="B137" s="15" t="inlineStr">
        <is>
          <t>weak_demand/narrow_supply/mild_reverse/low_noise</t>
        </is>
      </c>
      <c r="C137" s="12" t="n">
        <v>20</v>
      </c>
      <c r="D137" s="19" t="n">
        <v>0</v>
      </c>
      <c r="E137" s="24" t="n">
        <v>0</v>
      </c>
      <c r="F137" s="16" t="n"/>
      <c r="G137" s="16" t="n">
        <v>1</v>
      </c>
    </row>
    <row r="138">
      <c r="A138" s="15" t="inlineStr">
        <is>
          <t>burden_changepoint</t>
        </is>
      </c>
      <c r="B138" s="15" t="inlineStr">
        <is>
          <t>weak_demand/narrow_supply/none_reverse/high_noise</t>
        </is>
      </c>
      <c r="C138" s="12" t="n">
        <v>20</v>
      </c>
      <c r="D138" s="19" t="n">
        <v>0</v>
      </c>
      <c r="E138" s="24" t="n">
        <v>0</v>
      </c>
      <c r="F138" s="16" t="n"/>
      <c r="G138" s="16" t="n">
        <v>1</v>
      </c>
    </row>
    <row r="139">
      <c r="A139" s="15" t="inlineStr">
        <is>
          <t>burden_changepoint</t>
        </is>
      </c>
      <c r="B139" s="15" t="inlineStr">
        <is>
          <t>weak_demand/narrow_supply/none_reverse/low_noise</t>
        </is>
      </c>
      <c r="C139" s="12" t="n">
        <v>20</v>
      </c>
      <c r="D139" s="19" t="n">
        <v>0</v>
      </c>
      <c r="E139" s="24" t="n">
        <v>0</v>
      </c>
      <c r="F139" s="16" t="n"/>
      <c r="G139" s="16" t="n">
        <v>1</v>
      </c>
    </row>
    <row r="140">
      <c r="A140" s="15" t="inlineStr">
        <is>
          <t>burden_changepoint</t>
        </is>
      </c>
      <c r="B140" s="15" t="inlineStr">
        <is>
          <t>weak_demand/narrow_supply/strong_reverse/high_noise</t>
        </is>
      </c>
      <c r="C140" s="12" t="n">
        <v>20</v>
      </c>
      <c r="D140" s="19" t="n">
        <v>0</v>
      </c>
      <c r="E140" s="24" t="n">
        <v>0</v>
      </c>
      <c r="F140" s="16" t="n"/>
      <c r="G140" s="16" t="n">
        <v>1</v>
      </c>
    </row>
    <row r="141">
      <c r="A141" s="15" t="inlineStr">
        <is>
          <t>burden_changepoint</t>
        </is>
      </c>
      <c r="B141" s="15" t="inlineStr">
        <is>
          <t>weak_demand/narrow_supply/strong_reverse/low_noise</t>
        </is>
      </c>
      <c r="C141" s="12" t="n">
        <v>20</v>
      </c>
      <c r="D141" s="19" t="n">
        <v>0</v>
      </c>
      <c r="E141" s="24" t="n">
        <v>0</v>
      </c>
      <c r="F141" s="16" t="n"/>
      <c r="G141" s="16" t="n">
        <v>1</v>
      </c>
    </row>
    <row r="142">
      <c r="A142" s="15" t="inlineStr">
        <is>
          <t>burden_changepoint</t>
        </is>
      </c>
      <c r="B142" s="15" t="inlineStr">
        <is>
          <t>weak_demand/wide_supply/mild_reverse/high_noise</t>
        </is>
      </c>
      <c r="C142" s="12" t="n">
        <v>20</v>
      </c>
      <c r="D142" s="19" t="n">
        <v>0</v>
      </c>
      <c r="E142" s="24" t="n">
        <v>0</v>
      </c>
      <c r="F142" s="16" t="n"/>
      <c r="G142" s="16" t="n">
        <v>1</v>
      </c>
    </row>
    <row r="143">
      <c r="A143" s="15" t="inlineStr">
        <is>
          <t>burden_changepoint</t>
        </is>
      </c>
      <c r="B143" s="15" t="inlineStr">
        <is>
          <t>weak_demand/wide_supply/mild_reverse/low_noise</t>
        </is>
      </c>
      <c r="C143" s="12" t="n">
        <v>20</v>
      </c>
      <c r="D143" s="19" t="n">
        <v>0</v>
      </c>
      <c r="E143" s="24" t="n">
        <v>0</v>
      </c>
      <c r="F143" s="16" t="n"/>
      <c r="G143" s="16" t="n">
        <v>1</v>
      </c>
    </row>
    <row r="144">
      <c r="A144" s="15" t="inlineStr">
        <is>
          <t>burden_changepoint</t>
        </is>
      </c>
      <c r="B144" s="15" t="inlineStr">
        <is>
          <t>weak_demand/wide_supply/none_reverse/high_noise</t>
        </is>
      </c>
      <c r="C144" s="12" t="n">
        <v>20</v>
      </c>
      <c r="D144" s="19" t="n">
        <v>0</v>
      </c>
      <c r="E144" s="24" t="n">
        <v>0</v>
      </c>
      <c r="F144" s="16" t="n"/>
      <c r="G144" s="16" t="n">
        <v>1</v>
      </c>
    </row>
    <row r="145">
      <c r="A145" s="15" t="inlineStr">
        <is>
          <t>burden_changepoint</t>
        </is>
      </c>
      <c r="B145" s="15" t="inlineStr">
        <is>
          <t>weak_demand/wide_supply/none_reverse/low_noise</t>
        </is>
      </c>
      <c r="C145" s="12" t="n">
        <v>20</v>
      </c>
      <c r="D145" s="19" t="n">
        <v>0</v>
      </c>
      <c r="E145" s="24" t="n">
        <v>0</v>
      </c>
      <c r="F145" s="16" t="n"/>
      <c r="G145" s="16" t="n">
        <v>1</v>
      </c>
    </row>
    <row r="146">
      <c r="A146" s="15" t="inlineStr">
        <is>
          <t>burden_changepoint</t>
        </is>
      </c>
      <c r="B146" s="15" t="inlineStr">
        <is>
          <t>weak_demand/wide_supply/strong_reverse/high_noise</t>
        </is>
      </c>
      <c r="C146" s="12" t="n">
        <v>20</v>
      </c>
      <c r="D146" s="19" t="n">
        <v>0</v>
      </c>
      <c r="E146" s="24" t="n">
        <v>0</v>
      </c>
      <c r="F146" s="16" t="n"/>
      <c r="G146" s="16" t="n">
        <v>1</v>
      </c>
    </row>
    <row r="147">
      <c r="A147" s="15" t="inlineStr">
        <is>
          <t>burden_changepoint</t>
        </is>
      </c>
      <c r="B147" s="15" t="inlineStr">
        <is>
          <t>weak_demand/wide_supply/strong_reverse/low_noise</t>
        </is>
      </c>
      <c r="C147" s="12" t="n">
        <v>20</v>
      </c>
      <c r="D147" s="19" t="n">
        <v>0</v>
      </c>
      <c r="E147" s="24" t="n">
        <v>0</v>
      </c>
      <c r="F147" s="16" t="n"/>
      <c r="G147" s="16" t="n">
        <v>1</v>
      </c>
    </row>
    <row r="148">
      <c r="A148" s="15" t="inlineStr">
        <is>
          <t>lock_in_did</t>
        </is>
      </c>
      <c r="B148" s="15" t="inlineStr">
        <is>
          <t>strong_demand/narrow_supply/mild_reverse/high_noise</t>
        </is>
      </c>
      <c r="C148" s="12" t="n">
        <v>20</v>
      </c>
      <c r="D148" s="19" t="n">
        <v>0.0004928635219</v>
      </c>
      <c r="E148" s="24" t="n">
        <v>0.004673325561</v>
      </c>
      <c r="F148" s="16" t="n">
        <v>1</v>
      </c>
      <c r="G148" s="16" t="n">
        <v>0.8</v>
      </c>
    </row>
    <row r="149">
      <c r="A149" s="15" t="inlineStr">
        <is>
          <t>lock_in_did</t>
        </is>
      </c>
      <c r="B149" s="15" t="inlineStr">
        <is>
          <t>strong_demand/narrow_supply/mild_reverse/low_noise</t>
        </is>
      </c>
      <c r="C149" s="12" t="n">
        <v>20</v>
      </c>
      <c r="D149" s="19" t="n">
        <v>0.0004861529382</v>
      </c>
      <c r="E149" s="24" t="n">
        <v>0.004669302071</v>
      </c>
      <c r="F149" s="16" t="n">
        <v>1</v>
      </c>
      <c r="G149" s="16" t="n">
        <v>0.8</v>
      </c>
    </row>
    <row r="150">
      <c r="A150" s="15" t="inlineStr">
        <is>
          <t>lock_in_did</t>
        </is>
      </c>
      <c r="B150" s="15" t="inlineStr">
        <is>
          <t>strong_demand/narrow_supply/none_reverse/high_noise</t>
        </is>
      </c>
      <c r="C150" s="12" t="n">
        <v>20</v>
      </c>
      <c r="D150" s="19" t="n">
        <v>0.0005584869215999999</v>
      </c>
      <c r="E150" s="24" t="n">
        <v>0.004889937712</v>
      </c>
      <c r="F150" s="16" t="n">
        <v>1</v>
      </c>
      <c r="G150" s="16" t="n">
        <v>0.8</v>
      </c>
    </row>
    <row r="151">
      <c r="A151" s="15" t="inlineStr">
        <is>
          <t>lock_in_did</t>
        </is>
      </c>
      <c r="B151" s="15" t="inlineStr">
        <is>
          <t>strong_demand/narrow_supply/none_reverse/low_noise</t>
        </is>
      </c>
      <c r="C151" s="12" t="n">
        <v>20</v>
      </c>
      <c r="D151" s="19" t="n">
        <v>0.0005584869215999999</v>
      </c>
      <c r="E151" s="24" t="n">
        <v>0.004889937712</v>
      </c>
      <c r="F151" s="16" t="n">
        <v>1</v>
      </c>
      <c r="G151" s="16" t="n">
        <v>0.8</v>
      </c>
    </row>
    <row r="152">
      <c r="A152" s="15" t="inlineStr">
        <is>
          <t>lock_in_did</t>
        </is>
      </c>
      <c r="B152" s="15" t="inlineStr">
        <is>
          <t>strong_demand/narrow_supply/strong_reverse/high_noise</t>
        </is>
      </c>
      <c r="C152" s="12" t="n">
        <v>20</v>
      </c>
      <c r="D152" s="19" t="n">
        <v>0.0004391624249</v>
      </c>
      <c r="E152" s="24" t="n">
        <v>0.00444702594</v>
      </c>
      <c r="F152" s="16" t="n">
        <v>1</v>
      </c>
      <c r="G152" s="16" t="n">
        <v>0.8</v>
      </c>
    </row>
    <row r="153">
      <c r="A153" s="15" t="inlineStr">
        <is>
          <t>lock_in_did</t>
        </is>
      </c>
      <c r="B153" s="15" t="inlineStr">
        <is>
          <t>strong_demand/narrow_supply/strong_reverse/low_noise</t>
        </is>
      </c>
      <c r="C153" s="12" t="n">
        <v>20</v>
      </c>
      <c r="D153" s="19" t="n">
        <v>0.0004299221687</v>
      </c>
      <c r="E153" s="24" t="n">
        <v>0.004442576254</v>
      </c>
      <c r="F153" s="16" t="n">
        <v>1</v>
      </c>
      <c r="G153" s="16" t="n">
        <v>0.8</v>
      </c>
    </row>
    <row r="154">
      <c r="A154" s="15" t="inlineStr">
        <is>
          <t>lock_in_did</t>
        </is>
      </c>
      <c r="B154" s="15" t="inlineStr">
        <is>
          <t>strong_demand/wide_supply/mild_reverse/high_noise</t>
        </is>
      </c>
      <c r="C154" s="12" t="n">
        <v>20</v>
      </c>
      <c r="D154" s="19" t="n">
        <v>0.0004959998649</v>
      </c>
      <c r="E154" s="24" t="n">
        <v>0.004671399216</v>
      </c>
      <c r="F154" s="16" t="n">
        <v>1</v>
      </c>
      <c r="G154" s="16" t="n">
        <v>0.8</v>
      </c>
    </row>
    <row r="155">
      <c r="A155" s="15" t="inlineStr">
        <is>
          <t>lock_in_did</t>
        </is>
      </c>
      <c r="B155" s="15" t="inlineStr">
        <is>
          <t>strong_demand/wide_supply/mild_reverse/low_noise</t>
        </is>
      </c>
      <c r="C155" s="12" t="n">
        <v>20</v>
      </c>
      <c r="D155" s="19" t="n">
        <v>0.0004890931964</v>
      </c>
      <c r="E155" s="24" t="n">
        <v>0.00466710011</v>
      </c>
      <c r="F155" s="16" t="n">
        <v>1</v>
      </c>
      <c r="G155" s="16" t="n">
        <v>0.8</v>
      </c>
    </row>
    <row r="156">
      <c r="A156" s="15" t="inlineStr">
        <is>
          <t>lock_in_did</t>
        </is>
      </c>
      <c r="B156" s="15" t="inlineStr">
        <is>
          <t>strong_demand/wide_supply/none_reverse/high_noise</t>
        </is>
      </c>
      <c r="C156" s="12" t="n">
        <v>20</v>
      </c>
      <c r="D156" s="19" t="n">
        <v>0.0005584869215999999</v>
      </c>
      <c r="E156" s="24" t="n">
        <v>0.004889937712</v>
      </c>
      <c r="F156" s="16" t="n">
        <v>1</v>
      </c>
      <c r="G156" s="16" t="n">
        <v>0.8</v>
      </c>
    </row>
    <row r="157">
      <c r="A157" s="15" t="inlineStr">
        <is>
          <t>lock_in_did</t>
        </is>
      </c>
      <c r="B157" s="15" t="inlineStr">
        <is>
          <t>strong_demand/wide_supply/none_reverse/low_noise</t>
        </is>
      </c>
      <c r="C157" s="12" t="n">
        <v>20</v>
      </c>
      <c r="D157" s="19" t="n">
        <v>0.0005584869215999999</v>
      </c>
      <c r="E157" s="24" t="n">
        <v>0.004889937712</v>
      </c>
      <c r="F157" s="16" t="n">
        <v>1</v>
      </c>
      <c r="G157" s="16" t="n">
        <v>0.8</v>
      </c>
    </row>
    <row r="158">
      <c r="A158" s="15" t="inlineStr">
        <is>
          <t>lock_in_did</t>
        </is>
      </c>
      <c r="B158" s="15" t="inlineStr">
        <is>
          <t>strong_demand/wide_supply/strong_reverse/high_noise</t>
        </is>
      </c>
      <c r="C158" s="12" t="n">
        <v>20</v>
      </c>
      <c r="D158" s="19" t="n">
        <v>0.0004485535628</v>
      </c>
      <c r="E158" s="24" t="n">
        <v>0.004418633851</v>
      </c>
      <c r="F158" s="16" t="n">
        <v>1</v>
      </c>
      <c r="G158" s="16" t="n">
        <v>0.8</v>
      </c>
    </row>
    <row r="159">
      <c r="A159" s="15" t="inlineStr">
        <is>
          <t>lock_in_did</t>
        </is>
      </c>
      <c r="B159" s="15" t="inlineStr">
        <is>
          <t>strong_demand/wide_supply/strong_reverse/low_noise</t>
        </is>
      </c>
      <c r="C159" s="12" t="n">
        <v>20</v>
      </c>
      <c r="D159" s="19" t="n">
        <v>0.0004444129532</v>
      </c>
      <c r="E159" s="24" t="n">
        <v>0.004411388745</v>
      </c>
      <c r="F159" s="16" t="n">
        <v>1</v>
      </c>
      <c r="G159" s="16" t="n">
        <v>0.8</v>
      </c>
    </row>
    <row r="160">
      <c r="A160" s="15" t="inlineStr">
        <is>
          <t>lock_in_did</t>
        </is>
      </c>
      <c r="B160" s="15" t="inlineStr">
        <is>
          <t>weak_demand/narrow_supply/mild_reverse/high_noise</t>
        </is>
      </c>
      <c r="C160" s="12" t="n">
        <v>20</v>
      </c>
      <c r="D160" s="19" t="n">
        <v>0.002525880583</v>
      </c>
      <c r="E160" s="24" t="n">
        <v>0.006375499371</v>
      </c>
      <c r="F160" s="16" t="n">
        <v>0.9</v>
      </c>
      <c r="G160" s="16" t="n">
        <v>0.9</v>
      </c>
    </row>
    <row r="161">
      <c r="A161" s="15" t="inlineStr">
        <is>
          <t>lock_in_did</t>
        </is>
      </c>
      <c r="B161" s="15" t="inlineStr">
        <is>
          <t>weak_demand/narrow_supply/mild_reverse/low_noise</t>
        </is>
      </c>
      <c r="C161" s="12" t="n">
        <v>20</v>
      </c>
      <c r="D161" s="19" t="n">
        <v>0.002557767604</v>
      </c>
      <c r="E161" s="24" t="n">
        <v>0.006395650932</v>
      </c>
      <c r="F161" s="16" t="n">
        <v>0.9</v>
      </c>
      <c r="G161" s="16" t="n">
        <v>0.9</v>
      </c>
    </row>
    <row r="162">
      <c r="A162" s="15" t="inlineStr">
        <is>
          <t>lock_in_did</t>
        </is>
      </c>
      <c r="B162" s="15" t="inlineStr">
        <is>
          <t>weak_demand/narrow_supply/none_reverse/high_noise</t>
        </is>
      </c>
      <c r="C162" s="12" t="n">
        <v>20</v>
      </c>
      <c r="D162" s="19" t="n">
        <v>0.00269130886</v>
      </c>
      <c r="E162" s="24" t="n">
        <v>0.006371105827</v>
      </c>
      <c r="F162" s="16" t="n">
        <v>0.9</v>
      </c>
      <c r="G162" s="16" t="n">
        <v>0.9</v>
      </c>
    </row>
    <row r="163">
      <c r="A163" s="15" t="inlineStr">
        <is>
          <t>lock_in_did</t>
        </is>
      </c>
      <c r="B163" s="15" t="inlineStr">
        <is>
          <t>weak_demand/narrow_supply/none_reverse/low_noise</t>
        </is>
      </c>
      <c r="C163" s="12" t="n">
        <v>20</v>
      </c>
      <c r="D163" s="19" t="n">
        <v>0.00269130886</v>
      </c>
      <c r="E163" s="24" t="n">
        <v>0.006371105827</v>
      </c>
      <c r="F163" s="16" t="n">
        <v>0.9</v>
      </c>
      <c r="G163" s="16" t="n">
        <v>0.9</v>
      </c>
    </row>
    <row r="164">
      <c r="A164" s="15" t="inlineStr">
        <is>
          <t>lock_in_did</t>
        </is>
      </c>
      <c r="B164" s="15" t="inlineStr">
        <is>
          <t>weak_demand/narrow_supply/strong_reverse/high_noise</t>
        </is>
      </c>
      <c r="C164" s="12" t="n">
        <v>20</v>
      </c>
      <c r="D164" s="19" t="n">
        <v>0.002162287471</v>
      </c>
      <c r="E164" s="24" t="n">
        <v>0.006433333007</v>
      </c>
      <c r="F164" s="16" t="n">
        <v>0.85</v>
      </c>
      <c r="G164" s="16" t="n">
        <v>0.9</v>
      </c>
    </row>
    <row r="165">
      <c r="A165" s="15" t="inlineStr">
        <is>
          <t>lock_in_did</t>
        </is>
      </c>
      <c r="B165" s="15" t="inlineStr">
        <is>
          <t>weak_demand/narrow_supply/strong_reverse/low_noise</t>
        </is>
      </c>
      <c r="C165" s="12" t="n">
        <v>20</v>
      </c>
      <c r="D165" s="19" t="n">
        <v>0.002250017506</v>
      </c>
      <c r="E165" s="24" t="n">
        <v>0.006481928357</v>
      </c>
      <c r="F165" s="16" t="n">
        <v>0.85</v>
      </c>
      <c r="G165" s="16" t="n">
        <v>0.9</v>
      </c>
    </row>
    <row r="166">
      <c r="A166" s="15" t="inlineStr">
        <is>
          <t>lock_in_did</t>
        </is>
      </c>
      <c r="B166" s="15" t="inlineStr">
        <is>
          <t>weak_demand/wide_supply/mild_reverse/high_noise</t>
        </is>
      </c>
      <c r="C166" s="12" t="n">
        <v>20</v>
      </c>
      <c r="D166" s="19" t="n">
        <v>0.00252654447</v>
      </c>
      <c r="E166" s="24" t="n">
        <v>0.006375502347</v>
      </c>
      <c r="F166" s="16" t="n">
        <v>0.9</v>
      </c>
      <c r="G166" s="16" t="n">
        <v>0.9</v>
      </c>
    </row>
    <row r="167">
      <c r="A167" s="15" t="inlineStr">
        <is>
          <t>lock_in_did</t>
        </is>
      </c>
      <c r="B167" s="15" t="inlineStr">
        <is>
          <t>weak_demand/wide_supply/mild_reverse/low_noise</t>
        </is>
      </c>
      <c r="C167" s="12" t="n">
        <v>20</v>
      </c>
      <c r="D167" s="19" t="n">
        <v>0.00255835994</v>
      </c>
      <c r="E167" s="24" t="n">
        <v>0.006395273611</v>
      </c>
      <c r="F167" s="16" t="n">
        <v>0.9</v>
      </c>
      <c r="G167" s="16" t="n">
        <v>0.9</v>
      </c>
    </row>
    <row r="168">
      <c r="A168" s="15" t="inlineStr">
        <is>
          <t>lock_in_did</t>
        </is>
      </c>
      <c r="B168" s="15" t="inlineStr">
        <is>
          <t>weak_demand/wide_supply/none_reverse/high_noise</t>
        </is>
      </c>
      <c r="C168" s="12" t="n">
        <v>20</v>
      </c>
      <c r="D168" s="19" t="n">
        <v>0.00269130886</v>
      </c>
      <c r="E168" s="24" t="n">
        <v>0.006371105827</v>
      </c>
      <c r="F168" s="16" t="n">
        <v>0.9</v>
      </c>
      <c r="G168" s="16" t="n">
        <v>0.9</v>
      </c>
    </row>
    <row r="169">
      <c r="A169" s="15" t="inlineStr">
        <is>
          <t>lock_in_did</t>
        </is>
      </c>
      <c r="B169" s="15" t="inlineStr">
        <is>
          <t>weak_demand/wide_supply/none_reverse/low_noise</t>
        </is>
      </c>
      <c r="C169" s="12" t="n">
        <v>20</v>
      </c>
      <c r="D169" s="19" t="n">
        <v>0.00269130886</v>
      </c>
      <c r="E169" s="24" t="n">
        <v>0.006371105827</v>
      </c>
      <c r="F169" s="16" t="n">
        <v>0.9</v>
      </c>
      <c r="G169" s="16" t="n">
        <v>0.9</v>
      </c>
    </row>
    <row r="170">
      <c r="A170" s="15" t="inlineStr">
        <is>
          <t>lock_in_did</t>
        </is>
      </c>
      <c r="B170" s="15" t="inlineStr">
        <is>
          <t>weak_demand/wide_supply/strong_reverse/high_noise</t>
        </is>
      </c>
      <c r="C170" s="12" t="n">
        <v>20</v>
      </c>
      <c r="D170" s="19" t="n">
        <v>0.002173039306</v>
      </c>
      <c r="E170" s="24" t="n">
        <v>0.006432854264</v>
      </c>
      <c r="F170" s="16" t="n">
        <v>0.85</v>
      </c>
      <c r="G170" s="16" t="n">
        <v>0.9</v>
      </c>
    </row>
    <row r="171">
      <c r="A171" s="15" t="inlineStr">
        <is>
          <t>lock_in_did</t>
        </is>
      </c>
      <c r="B171" s="15" t="inlineStr">
        <is>
          <t>weak_demand/wide_supply/strong_reverse/low_noise</t>
        </is>
      </c>
      <c r="C171" s="12" t="n">
        <v>20</v>
      </c>
      <c r="D171" s="19" t="n">
        <v>0.002260912503</v>
      </c>
      <c r="E171" s="24" t="n">
        <v>0.006480835854</v>
      </c>
      <c r="F171" s="16" t="n">
        <v>0.85</v>
      </c>
      <c r="G171" s="16" t="n">
        <v>0.9</v>
      </c>
    </row>
    <row r="172">
      <c r="A172" s="15" t="inlineStr">
        <is>
          <t>lock_in_placebo</t>
        </is>
      </c>
      <c r="B172" s="15" t="inlineStr">
        <is>
          <t>strong_demand/narrow_supply/mild_reverse/high_noise</t>
        </is>
      </c>
      <c r="C172" s="12" t="n">
        <v>20</v>
      </c>
      <c r="D172" s="19" t="n">
        <v>-0.001500059079</v>
      </c>
      <c r="E172" s="24" t="n">
        <v>0.009721165188</v>
      </c>
      <c r="F172" s="16" t="n">
        <v>0.8</v>
      </c>
      <c r="G172" s="16" t="n"/>
    </row>
    <row r="173">
      <c r="A173" s="15" t="inlineStr">
        <is>
          <t>lock_in_placebo</t>
        </is>
      </c>
      <c r="B173" s="15" t="inlineStr">
        <is>
          <t>strong_demand/narrow_supply/mild_reverse/low_noise</t>
        </is>
      </c>
      <c r="C173" s="12" t="n">
        <v>20</v>
      </c>
      <c r="D173" s="19" t="n">
        <v>-0.001486904423</v>
      </c>
      <c r="E173" s="24" t="n">
        <v>0.009730449726</v>
      </c>
      <c r="F173" s="16" t="n">
        <v>0.8</v>
      </c>
      <c r="G173" s="16" t="n"/>
    </row>
    <row r="174">
      <c r="A174" s="15" t="inlineStr">
        <is>
          <t>lock_in_placebo</t>
        </is>
      </c>
      <c r="B174" s="15" t="inlineStr">
        <is>
          <t>strong_demand/narrow_supply/none_reverse/high_noise</t>
        </is>
      </c>
      <c r="C174" s="12" t="n">
        <v>20</v>
      </c>
      <c r="D174" s="19" t="n">
        <v>-0.001547419614</v>
      </c>
      <c r="E174" s="24" t="n">
        <v>0.009770904578999999</v>
      </c>
      <c r="F174" s="16" t="n">
        <v>0.8</v>
      </c>
      <c r="G174" s="16" t="n"/>
    </row>
    <row r="175">
      <c r="A175" s="15" t="inlineStr">
        <is>
          <t>lock_in_placebo</t>
        </is>
      </c>
      <c r="B175" s="15" t="inlineStr">
        <is>
          <t>strong_demand/narrow_supply/none_reverse/low_noise</t>
        </is>
      </c>
      <c r="C175" s="12" t="n">
        <v>20</v>
      </c>
      <c r="D175" s="19" t="n">
        <v>-0.001547419614</v>
      </c>
      <c r="E175" s="24" t="n">
        <v>0.009770904578999999</v>
      </c>
      <c r="F175" s="16" t="n">
        <v>0.8</v>
      </c>
      <c r="G175" s="16" t="n"/>
    </row>
    <row r="176">
      <c r="A176" s="15" t="inlineStr">
        <is>
          <t>lock_in_placebo</t>
        </is>
      </c>
      <c r="B176" s="15" t="inlineStr">
        <is>
          <t>strong_demand/narrow_supply/strong_reverse/high_noise</t>
        </is>
      </c>
      <c r="C176" s="12" t="n">
        <v>20</v>
      </c>
      <c r="D176" s="19" t="n">
        <v>-0.001349130157</v>
      </c>
      <c r="E176" s="24" t="n">
        <v>0.009649954472</v>
      </c>
      <c r="F176" s="16" t="n">
        <v>0.8</v>
      </c>
      <c r="G176" s="16" t="n"/>
    </row>
    <row r="177">
      <c r="A177" s="15" t="inlineStr">
        <is>
          <t>lock_in_placebo</t>
        </is>
      </c>
      <c r="B177" s="15" t="inlineStr">
        <is>
          <t>strong_demand/narrow_supply/strong_reverse/low_noise</t>
        </is>
      </c>
      <c r="C177" s="12" t="n">
        <v>20</v>
      </c>
      <c r="D177" s="19" t="n">
        <v>-0.00129436175</v>
      </c>
      <c r="E177" s="24" t="n">
        <v>0.009675253452</v>
      </c>
      <c r="F177" s="16" t="n">
        <v>0.8</v>
      </c>
      <c r="G177" s="16" t="n"/>
    </row>
    <row r="178">
      <c r="A178" s="15" t="inlineStr">
        <is>
          <t>lock_in_placebo</t>
        </is>
      </c>
      <c r="B178" s="15" t="inlineStr">
        <is>
          <t>strong_demand/wide_supply/mild_reverse/high_noise</t>
        </is>
      </c>
      <c r="C178" s="12" t="n">
        <v>20</v>
      </c>
      <c r="D178" s="19" t="n">
        <v>-0.001500263186</v>
      </c>
      <c r="E178" s="24" t="n">
        <v>0.009717905139</v>
      </c>
      <c r="F178" s="16" t="n">
        <v>0.8</v>
      </c>
      <c r="G178" s="16" t="n"/>
    </row>
    <row r="179">
      <c r="A179" s="15" t="inlineStr">
        <is>
          <t>lock_in_placebo</t>
        </is>
      </c>
      <c r="B179" s="15" t="inlineStr">
        <is>
          <t>strong_demand/wide_supply/mild_reverse/low_noise</t>
        </is>
      </c>
      <c r="C179" s="12" t="n">
        <v>20</v>
      </c>
      <c r="D179" s="19" t="n">
        <v>-0.00148674896</v>
      </c>
      <c r="E179" s="24" t="n">
        <v>0.009726707693999999</v>
      </c>
      <c r="F179" s="16" t="n">
        <v>0.8</v>
      </c>
      <c r="G179" s="16" t="n"/>
    </row>
    <row r="180">
      <c r="A180" s="15" t="inlineStr">
        <is>
          <t>lock_in_placebo</t>
        </is>
      </c>
      <c r="B180" s="15" t="inlineStr">
        <is>
          <t>strong_demand/wide_supply/none_reverse/high_noise</t>
        </is>
      </c>
      <c r="C180" s="12" t="n">
        <v>20</v>
      </c>
      <c r="D180" s="19" t="n">
        <v>-0.001547419614</v>
      </c>
      <c r="E180" s="24" t="n">
        <v>0.009770904578999999</v>
      </c>
      <c r="F180" s="16" t="n">
        <v>0.8</v>
      </c>
      <c r="G180" s="16" t="n"/>
    </row>
    <row r="181">
      <c r="A181" s="15" t="inlineStr">
        <is>
          <t>lock_in_placebo</t>
        </is>
      </c>
      <c r="B181" s="15" t="inlineStr">
        <is>
          <t>strong_demand/wide_supply/none_reverse/low_noise</t>
        </is>
      </c>
      <c r="C181" s="12" t="n">
        <v>20</v>
      </c>
      <c r="D181" s="19" t="n">
        <v>-0.001547419614</v>
      </c>
      <c r="E181" s="24" t="n">
        <v>0.009770904578999999</v>
      </c>
      <c r="F181" s="16" t="n">
        <v>0.8</v>
      </c>
      <c r="G181" s="16" t="n"/>
    </row>
    <row r="182">
      <c r="A182" s="15" t="inlineStr">
        <is>
          <t>lock_in_placebo</t>
        </is>
      </c>
      <c r="B182" s="15" t="inlineStr">
        <is>
          <t>strong_demand/wide_supply/strong_reverse/high_noise</t>
        </is>
      </c>
      <c r="C182" s="12" t="n">
        <v>20</v>
      </c>
      <c r="D182" s="19" t="n">
        <v>-0.001359647771</v>
      </c>
      <c r="E182" s="24" t="n">
        <v>0.009645556741000001</v>
      </c>
      <c r="F182" s="16" t="n">
        <v>0.8</v>
      </c>
      <c r="G182" s="16" t="n"/>
    </row>
    <row r="183">
      <c r="A183" s="15" t="inlineStr">
        <is>
          <t>lock_in_placebo</t>
        </is>
      </c>
      <c r="B183" s="15" t="inlineStr">
        <is>
          <t>strong_demand/wide_supply/strong_reverse/low_noise</t>
        </is>
      </c>
      <c r="C183" s="12" t="n">
        <v>20</v>
      </c>
      <c r="D183" s="19" t="n">
        <v>-0.001306480377</v>
      </c>
      <c r="E183" s="24" t="n">
        <v>0.009671284134000001</v>
      </c>
      <c r="F183" s="16" t="n">
        <v>0.8</v>
      </c>
      <c r="G183" s="16" t="n"/>
    </row>
    <row r="184">
      <c r="A184" s="15" t="inlineStr">
        <is>
          <t>lock_in_placebo</t>
        </is>
      </c>
      <c r="B184" s="15" t="inlineStr">
        <is>
          <t>weak_demand/narrow_supply/mild_reverse/high_noise</t>
        </is>
      </c>
      <c r="C184" s="12" t="n">
        <v>20</v>
      </c>
      <c r="D184" s="19" t="n">
        <v>0.001351981419</v>
      </c>
      <c r="E184" s="24" t="n">
        <v>0.007579184614</v>
      </c>
      <c r="F184" s="16" t="n">
        <v>0.9</v>
      </c>
      <c r="G184" s="16" t="n"/>
    </row>
    <row r="185">
      <c r="A185" s="15" t="inlineStr">
        <is>
          <t>lock_in_placebo</t>
        </is>
      </c>
      <c r="B185" s="15" t="inlineStr">
        <is>
          <t>weak_demand/narrow_supply/mild_reverse/low_noise</t>
        </is>
      </c>
      <c r="C185" s="12" t="n">
        <v>20</v>
      </c>
      <c r="D185" s="19" t="n">
        <v>0.001339765798</v>
      </c>
      <c r="E185" s="24" t="n">
        <v>0.007579691775</v>
      </c>
      <c r="F185" s="16" t="n">
        <v>0.9</v>
      </c>
      <c r="G185" s="16" t="n"/>
    </row>
    <row r="186">
      <c r="A186" s="15" t="inlineStr">
        <is>
          <t>lock_in_placebo</t>
        </is>
      </c>
      <c r="B186" s="15" t="inlineStr">
        <is>
          <t>weak_demand/narrow_supply/none_reverse/high_noise</t>
        </is>
      </c>
      <c r="C186" s="12" t="n">
        <v>20</v>
      </c>
      <c r="D186" s="19" t="n">
        <v>0.001430195565</v>
      </c>
      <c r="E186" s="24" t="n">
        <v>0.007534558805</v>
      </c>
      <c r="F186" s="16" t="n">
        <v>0.9</v>
      </c>
      <c r="G186" s="16" t="n"/>
    </row>
    <row r="187">
      <c r="A187" s="15" t="inlineStr">
        <is>
          <t>lock_in_placebo</t>
        </is>
      </c>
      <c r="B187" s="15" t="inlineStr">
        <is>
          <t>weak_demand/narrow_supply/none_reverse/low_noise</t>
        </is>
      </c>
      <c r="C187" s="12" t="n">
        <v>20</v>
      </c>
      <c r="D187" s="19" t="n">
        <v>0.001430195565</v>
      </c>
      <c r="E187" s="24" t="n">
        <v>0.007534558805</v>
      </c>
      <c r="F187" s="16" t="n">
        <v>0.9</v>
      </c>
      <c r="G187" s="16" t="n"/>
    </row>
    <row r="188">
      <c r="A188" s="15" t="inlineStr">
        <is>
          <t>lock_in_placebo</t>
        </is>
      </c>
      <c r="B188" s="15" t="inlineStr">
        <is>
          <t>weak_demand/narrow_supply/strong_reverse/high_noise</t>
        </is>
      </c>
      <c r="C188" s="12" t="n">
        <v>20</v>
      </c>
      <c r="D188" s="19" t="n">
        <v>0.00118512851</v>
      </c>
      <c r="E188" s="24" t="n">
        <v>0.007650857259</v>
      </c>
      <c r="F188" s="16" t="n">
        <v>0.9</v>
      </c>
      <c r="G188" s="16" t="n"/>
    </row>
    <row r="189">
      <c r="A189" s="15" t="inlineStr">
        <is>
          <t>lock_in_placebo</t>
        </is>
      </c>
      <c r="B189" s="15" t="inlineStr">
        <is>
          <t>weak_demand/narrow_supply/strong_reverse/low_noise</t>
        </is>
      </c>
      <c r="C189" s="12" t="n">
        <v>20</v>
      </c>
      <c r="D189" s="19" t="n">
        <v>0.00115362663</v>
      </c>
      <c r="E189" s="24" t="n">
        <v>0.007649231812</v>
      </c>
      <c r="F189" s="16" t="n">
        <v>0.9</v>
      </c>
      <c r="G189" s="16" t="n"/>
    </row>
    <row r="190">
      <c r="A190" s="15" t="inlineStr">
        <is>
          <t>lock_in_placebo</t>
        </is>
      </c>
      <c r="B190" s="15" t="inlineStr">
        <is>
          <t>weak_demand/wide_supply/mild_reverse/high_noise</t>
        </is>
      </c>
      <c r="C190" s="12" t="n">
        <v>20</v>
      </c>
      <c r="D190" s="19" t="n">
        <v>0.001352100592</v>
      </c>
      <c r="E190" s="24" t="n">
        <v>0.007579494466</v>
      </c>
      <c r="F190" s="16" t="n">
        <v>0.9</v>
      </c>
      <c r="G190" s="16" t="n"/>
    </row>
    <row r="191">
      <c r="A191" s="15" t="inlineStr">
        <is>
          <t>lock_in_placebo</t>
        </is>
      </c>
      <c r="B191" s="15" t="inlineStr">
        <is>
          <t>weak_demand/wide_supply/mild_reverse/low_noise</t>
        </is>
      </c>
      <c r="C191" s="12" t="n">
        <v>20</v>
      </c>
      <c r="D191" s="19" t="n">
        <v>0.001339854645</v>
      </c>
      <c r="E191" s="24" t="n">
        <v>0.007579641813</v>
      </c>
      <c r="F191" s="16" t="n">
        <v>0.9</v>
      </c>
      <c r="G191" s="16" t="n"/>
    </row>
    <row r="192">
      <c r="A192" s="15" t="inlineStr">
        <is>
          <t>lock_in_placebo</t>
        </is>
      </c>
      <c r="B192" s="15" t="inlineStr">
        <is>
          <t>weak_demand/wide_supply/none_reverse/high_noise</t>
        </is>
      </c>
      <c r="C192" s="12" t="n">
        <v>20</v>
      </c>
      <c r="D192" s="19" t="n">
        <v>0.001430195565</v>
      </c>
      <c r="E192" s="24" t="n">
        <v>0.007534558805</v>
      </c>
      <c r="F192" s="16" t="n">
        <v>0.9</v>
      </c>
      <c r="G192" s="16" t="n"/>
    </row>
    <row r="193">
      <c r="A193" s="15" t="inlineStr">
        <is>
          <t>lock_in_placebo</t>
        </is>
      </c>
      <c r="B193" s="15" t="inlineStr">
        <is>
          <t>weak_demand/wide_supply/none_reverse/low_noise</t>
        </is>
      </c>
      <c r="C193" s="12" t="n">
        <v>20</v>
      </c>
      <c r="D193" s="19" t="n">
        <v>0.001430195565</v>
      </c>
      <c r="E193" s="24" t="n">
        <v>0.007534558805</v>
      </c>
      <c r="F193" s="16" t="n">
        <v>0.9</v>
      </c>
      <c r="G193" s="16" t="n"/>
    </row>
    <row r="194">
      <c r="A194" s="15" t="inlineStr">
        <is>
          <t>lock_in_placebo</t>
        </is>
      </c>
      <c r="B194" s="15" t="inlineStr">
        <is>
          <t>weak_demand/wide_supply/strong_reverse/high_noise</t>
        </is>
      </c>
      <c r="C194" s="12" t="n">
        <v>20</v>
      </c>
      <c r="D194" s="19" t="n">
        <v>0.001187830607</v>
      </c>
      <c r="E194" s="24" t="n">
        <v>0.007649711277</v>
      </c>
      <c r="F194" s="16" t="n">
        <v>0.9</v>
      </c>
      <c r="G194" s="16" t="n"/>
    </row>
    <row r="195">
      <c r="A195" s="15" t="inlineStr">
        <is>
          <t>lock_in_placebo</t>
        </is>
      </c>
      <c r="B195" s="15" t="inlineStr">
        <is>
          <t>weak_demand/wide_supply/strong_reverse/low_noise</t>
        </is>
      </c>
      <c r="C195" s="12" t="n">
        <v>20</v>
      </c>
      <c r="D195" s="19" t="n">
        <v>0.001156865071</v>
      </c>
      <c r="E195" s="24" t="n">
        <v>0.007645988103</v>
      </c>
      <c r="F195" s="16" t="n">
        <v>0.9</v>
      </c>
      <c r="G195" s="16" t="n"/>
    </row>
    <row r="196">
      <c r="A196" s="15" t="inlineStr">
        <is>
          <t>migration_effect</t>
        </is>
      </c>
      <c r="B196" s="15" t="inlineStr">
        <is>
          <t>strong_demand/narrow_supply/mild_reverse/high_noise</t>
        </is>
      </c>
      <c r="C196" s="12" t="n">
        <v>20</v>
      </c>
      <c r="D196" s="19" t="n">
        <v>-0.0002284668112</v>
      </c>
      <c r="E196" s="24" t="n">
        <v>0.003382635303</v>
      </c>
      <c r="F196" s="16" t="n">
        <v>1</v>
      </c>
      <c r="G196" s="16" t="n">
        <v>0.05</v>
      </c>
    </row>
    <row r="197">
      <c r="A197" s="15" t="inlineStr">
        <is>
          <t>migration_effect</t>
        </is>
      </c>
      <c r="B197" s="15" t="inlineStr">
        <is>
          <t>strong_demand/narrow_supply/mild_reverse/low_noise</t>
        </is>
      </c>
      <c r="C197" s="12" t="n">
        <v>20</v>
      </c>
      <c r="D197" s="19" t="n">
        <v>-1.026618655e-05</v>
      </c>
      <c r="E197" s="24" t="n">
        <v>0.002097720236</v>
      </c>
      <c r="F197" s="16" t="n">
        <v>1</v>
      </c>
      <c r="G197" s="16" t="n">
        <v>0.05</v>
      </c>
    </row>
    <row r="198">
      <c r="A198" s="15" t="inlineStr">
        <is>
          <t>migration_effect</t>
        </is>
      </c>
      <c r="B198" s="15" t="inlineStr">
        <is>
          <t>strong_demand/narrow_supply/none_reverse/high_noise</t>
        </is>
      </c>
      <c r="C198" s="12" t="n">
        <v>20</v>
      </c>
      <c r="D198" s="19" t="n">
        <v>-0.0003129864365</v>
      </c>
      <c r="E198" s="24" t="n">
        <v>0.003569434557</v>
      </c>
      <c r="F198" s="16" t="n">
        <v>1</v>
      </c>
      <c r="G198" s="16" t="n">
        <v>0.05</v>
      </c>
    </row>
    <row r="199">
      <c r="A199" s="15" t="inlineStr">
        <is>
          <t>migration_effect</t>
        </is>
      </c>
      <c r="B199" s="15" t="inlineStr">
        <is>
          <t>strong_demand/narrow_supply/none_reverse/low_noise</t>
        </is>
      </c>
      <c r="C199" s="12" t="n">
        <v>20</v>
      </c>
      <c r="D199" s="19" t="n">
        <v>7.528235999e-05</v>
      </c>
      <c r="E199" s="24" t="n">
        <v>0.001998790522</v>
      </c>
      <c r="F199" s="16" t="n">
        <v>0.95</v>
      </c>
      <c r="G199" s="16" t="n">
        <v>0.05</v>
      </c>
    </row>
    <row r="200">
      <c r="A200" s="15" t="inlineStr">
        <is>
          <t>migration_effect</t>
        </is>
      </c>
      <c r="B200" s="15" t="inlineStr">
        <is>
          <t>strong_demand/narrow_supply/strong_reverse/high_noise</t>
        </is>
      </c>
      <c r="C200" s="12" t="n">
        <v>20</v>
      </c>
      <c r="D200" s="19" t="n">
        <v>-0.0005257506141</v>
      </c>
      <c r="E200" s="24" t="n">
        <v>0.002644361767</v>
      </c>
      <c r="F200" s="16" t="n">
        <v>1</v>
      </c>
      <c r="G200" s="16" t="n">
        <v>0.85</v>
      </c>
    </row>
    <row r="201">
      <c r="A201" s="15" t="inlineStr">
        <is>
          <t>migration_effect</t>
        </is>
      </c>
      <c r="B201" s="15" t="inlineStr">
        <is>
          <t>strong_demand/narrow_supply/strong_reverse/low_noise</t>
        </is>
      </c>
      <c r="C201" s="12" t="n">
        <v>20</v>
      </c>
      <c r="D201" s="19" t="n">
        <v>-0.0009804722602999999</v>
      </c>
      <c r="E201" s="24" t="n">
        <v>0.002361403688</v>
      </c>
      <c r="F201" s="16" t="n">
        <v>0.95</v>
      </c>
      <c r="G201" s="16" t="n">
        <v>0.45</v>
      </c>
    </row>
    <row r="202">
      <c r="A202" s="15" t="inlineStr">
        <is>
          <t>migration_effect</t>
        </is>
      </c>
      <c r="B202" s="15" t="inlineStr">
        <is>
          <t>strong_demand/wide_supply/mild_reverse/high_noise</t>
        </is>
      </c>
      <c r="C202" s="12" t="n">
        <v>20</v>
      </c>
      <c r="D202" s="19" t="n">
        <v>-0.0002692383419</v>
      </c>
      <c r="E202" s="24" t="n">
        <v>0.003371262871</v>
      </c>
      <c r="F202" s="16" t="n">
        <v>1</v>
      </c>
      <c r="G202" s="16" t="n">
        <v>0.05</v>
      </c>
    </row>
    <row r="203">
      <c r="A203" s="15" t="inlineStr">
        <is>
          <t>migration_effect</t>
        </is>
      </c>
      <c r="B203" s="15" t="inlineStr">
        <is>
          <t>strong_demand/wide_supply/mild_reverse/low_noise</t>
        </is>
      </c>
      <c r="C203" s="12" t="n">
        <v>20</v>
      </c>
      <c r="D203" s="19" t="n">
        <v>-1.29843242e-05</v>
      </c>
      <c r="E203" s="24" t="n">
        <v>0.002152060764</v>
      </c>
      <c r="F203" s="16" t="n">
        <v>0.95</v>
      </c>
      <c r="G203" s="16" t="n">
        <v>0.05</v>
      </c>
    </row>
    <row r="204">
      <c r="A204" s="15" t="inlineStr">
        <is>
          <t>migration_effect</t>
        </is>
      </c>
      <c r="B204" s="15" t="inlineStr">
        <is>
          <t>strong_demand/wide_supply/none_reverse/high_noise</t>
        </is>
      </c>
      <c r="C204" s="12" t="n">
        <v>20</v>
      </c>
      <c r="D204" s="19" t="n">
        <v>-0.000237732114</v>
      </c>
      <c r="E204" s="24" t="n">
        <v>0.003500778317</v>
      </c>
      <c r="F204" s="16" t="n">
        <v>1</v>
      </c>
      <c r="G204" s="16" t="n">
        <v>0.05</v>
      </c>
    </row>
    <row r="205">
      <c r="A205" s="15" t="inlineStr">
        <is>
          <t>migration_effect</t>
        </is>
      </c>
      <c r="B205" s="15" t="inlineStr">
        <is>
          <t>strong_demand/wide_supply/none_reverse/low_noise</t>
        </is>
      </c>
      <c r="C205" s="12" t="n">
        <v>20</v>
      </c>
      <c r="D205" s="19" t="n">
        <v>0.0001570139562</v>
      </c>
      <c r="E205" s="24" t="n">
        <v>0.002022620459</v>
      </c>
      <c r="F205" s="16" t="n">
        <v>0.95</v>
      </c>
      <c r="G205" s="16" t="n">
        <v>0.05</v>
      </c>
    </row>
    <row r="206">
      <c r="A206" s="15" t="inlineStr">
        <is>
          <t>migration_effect</t>
        </is>
      </c>
      <c r="B206" s="15" t="inlineStr">
        <is>
          <t>strong_demand/wide_supply/strong_reverse/high_noise</t>
        </is>
      </c>
      <c r="C206" s="12" t="n">
        <v>20</v>
      </c>
      <c r="D206" s="19" t="n">
        <v>-0.001047734626</v>
      </c>
      <c r="E206" s="24" t="n">
        <v>0.00299264773</v>
      </c>
      <c r="F206" s="16" t="n">
        <v>1</v>
      </c>
      <c r="G206" s="16" t="n">
        <v>0.85</v>
      </c>
    </row>
    <row r="207">
      <c r="A207" s="15" t="inlineStr">
        <is>
          <t>migration_effect</t>
        </is>
      </c>
      <c r="B207" s="15" t="inlineStr">
        <is>
          <t>strong_demand/wide_supply/strong_reverse/low_noise</t>
        </is>
      </c>
      <c r="C207" s="12" t="n">
        <v>20</v>
      </c>
      <c r="D207" s="19" t="n">
        <v>-0.001454349588</v>
      </c>
      <c r="E207" s="24" t="n">
        <v>0.002896315482</v>
      </c>
      <c r="F207" s="16" t="n">
        <v>0.95</v>
      </c>
      <c r="G207" s="16" t="n">
        <v>0.55</v>
      </c>
    </row>
    <row r="208">
      <c r="A208" s="15" t="inlineStr">
        <is>
          <t>migration_effect</t>
        </is>
      </c>
      <c r="B208" s="15" t="inlineStr">
        <is>
          <t>weak_demand/narrow_supply/mild_reverse/high_noise</t>
        </is>
      </c>
      <c r="C208" s="12" t="n">
        <v>20</v>
      </c>
      <c r="D208" s="19" t="n">
        <v>8.260843779999999e-05</v>
      </c>
      <c r="E208" s="24" t="n">
        <v>0.003196085679</v>
      </c>
      <c r="F208" s="16" t="n">
        <v>0.95</v>
      </c>
      <c r="G208" s="16" t="n">
        <v>0.05</v>
      </c>
    </row>
    <row r="209">
      <c r="A209" s="15" t="inlineStr">
        <is>
          <t>migration_effect</t>
        </is>
      </c>
      <c r="B209" s="15" t="inlineStr">
        <is>
          <t>weak_demand/narrow_supply/mild_reverse/low_noise</t>
        </is>
      </c>
      <c r="C209" s="12" t="n">
        <v>20</v>
      </c>
      <c r="D209" s="19" t="n">
        <v>0.0001367687665</v>
      </c>
      <c r="E209" s="24" t="n">
        <v>0.001954615036</v>
      </c>
      <c r="F209" s="16" t="n">
        <v>1</v>
      </c>
      <c r="G209" s="16" t="n">
        <v>0</v>
      </c>
    </row>
    <row r="210">
      <c r="A210" s="15" t="inlineStr">
        <is>
          <t>migration_effect</t>
        </is>
      </c>
      <c r="B210" s="15" t="inlineStr">
        <is>
          <t>weak_demand/narrow_supply/none_reverse/high_noise</t>
        </is>
      </c>
      <c r="C210" s="12" t="n">
        <v>20</v>
      </c>
      <c r="D210" s="19" t="n">
        <v>3.299502448e-05</v>
      </c>
      <c r="E210" s="24" t="n">
        <v>0.003016095648</v>
      </c>
      <c r="F210" s="16" t="n">
        <v>0.95</v>
      </c>
      <c r="G210" s="16" t="n">
        <v>0.05</v>
      </c>
    </row>
    <row r="211">
      <c r="A211" s="15" t="inlineStr">
        <is>
          <t>migration_effect</t>
        </is>
      </c>
      <c r="B211" s="15" t="inlineStr">
        <is>
          <t>weak_demand/narrow_supply/none_reverse/low_noise</t>
        </is>
      </c>
      <c r="C211" s="12" t="n">
        <v>20</v>
      </c>
      <c r="D211" s="19" t="n">
        <v>0.0001604201947</v>
      </c>
      <c r="E211" s="24" t="n">
        <v>0.00202088952</v>
      </c>
      <c r="F211" s="16" t="n">
        <v>1</v>
      </c>
      <c r="G211" s="16" t="n">
        <v>0.1</v>
      </c>
    </row>
    <row r="212">
      <c r="A212" s="15" t="inlineStr">
        <is>
          <t>migration_effect</t>
        </is>
      </c>
      <c r="B212" s="15" t="inlineStr">
        <is>
          <t>weak_demand/narrow_supply/strong_reverse/high_noise</t>
        </is>
      </c>
      <c r="C212" s="12" t="n">
        <v>20</v>
      </c>
      <c r="D212" s="19" t="n">
        <v>-9.632093361e-05</v>
      </c>
      <c r="E212" s="24" t="n">
        <v>0.003379966116</v>
      </c>
      <c r="F212" s="16" t="n">
        <v>0.95</v>
      </c>
      <c r="G212" s="16" t="n">
        <v>0.4</v>
      </c>
    </row>
    <row r="213">
      <c r="A213" s="15" t="inlineStr">
        <is>
          <t>migration_effect</t>
        </is>
      </c>
      <c r="B213" s="15" t="inlineStr">
        <is>
          <t>weak_demand/narrow_supply/strong_reverse/low_noise</t>
        </is>
      </c>
      <c r="C213" s="12" t="n">
        <v>20</v>
      </c>
      <c r="D213" s="19" t="n">
        <v>-0.0004473538573</v>
      </c>
      <c r="E213" s="24" t="n">
        <v>0.002126649477</v>
      </c>
      <c r="F213" s="16" t="n">
        <v>1</v>
      </c>
      <c r="G213" s="16" t="n">
        <v>0.1</v>
      </c>
    </row>
    <row r="214">
      <c r="A214" s="15" t="inlineStr">
        <is>
          <t>migration_effect</t>
        </is>
      </c>
      <c r="B214" s="15" t="inlineStr">
        <is>
          <t>weak_demand/wide_supply/mild_reverse/high_noise</t>
        </is>
      </c>
      <c r="C214" s="12" t="n">
        <v>20</v>
      </c>
      <c r="D214" s="19" t="n">
        <v>7.637462869e-05</v>
      </c>
      <c r="E214" s="24" t="n">
        <v>0.003203273999</v>
      </c>
      <c r="F214" s="16" t="n">
        <v>0.95</v>
      </c>
      <c r="G214" s="16" t="n">
        <v>0.05</v>
      </c>
    </row>
    <row r="215">
      <c r="A215" s="15" t="inlineStr">
        <is>
          <t>migration_effect</t>
        </is>
      </c>
      <c r="B215" s="15" t="inlineStr">
        <is>
          <t>weak_demand/wide_supply/mild_reverse/low_noise</t>
        </is>
      </c>
      <c r="C215" s="12" t="n">
        <v>20</v>
      </c>
      <c r="D215" s="19" t="n">
        <v>0.0001326626812</v>
      </c>
      <c r="E215" s="24" t="n">
        <v>0.001906939835</v>
      </c>
      <c r="F215" s="16" t="n">
        <v>1</v>
      </c>
      <c r="G215" s="16" t="n">
        <v>0</v>
      </c>
    </row>
    <row r="216">
      <c r="A216" s="15" t="inlineStr">
        <is>
          <t>migration_effect</t>
        </is>
      </c>
      <c r="B216" s="15" t="inlineStr">
        <is>
          <t>weak_demand/wide_supply/none_reverse/high_noise</t>
        </is>
      </c>
      <c r="C216" s="12" t="n">
        <v>20</v>
      </c>
      <c r="D216" s="19" t="n">
        <v>9.629826174e-05</v>
      </c>
      <c r="E216" s="24" t="n">
        <v>0.003004244797</v>
      </c>
      <c r="F216" s="16" t="n">
        <v>0.95</v>
      </c>
      <c r="G216" s="16" t="n">
        <v>0.05</v>
      </c>
    </row>
    <row r="217">
      <c r="A217" s="15" t="inlineStr">
        <is>
          <t>migration_effect</t>
        </is>
      </c>
      <c r="B217" s="15" t="inlineStr">
        <is>
          <t>weak_demand/wide_supply/none_reverse/low_noise</t>
        </is>
      </c>
      <c r="C217" s="12" t="n">
        <v>20</v>
      </c>
      <c r="D217" s="19" t="n">
        <v>0.0002329123065</v>
      </c>
      <c r="E217" s="24" t="n">
        <v>0.001995712256</v>
      </c>
      <c r="F217" s="16" t="n">
        <v>0.95</v>
      </c>
      <c r="G217" s="16" t="n">
        <v>0.05</v>
      </c>
    </row>
    <row r="218">
      <c r="A218" s="15" t="inlineStr">
        <is>
          <t>migration_effect</t>
        </is>
      </c>
      <c r="B218" s="15" t="inlineStr">
        <is>
          <t>weak_demand/wide_supply/strong_reverse/high_noise</t>
        </is>
      </c>
      <c r="C218" s="12" t="n">
        <v>20</v>
      </c>
      <c r="D218" s="19" t="n">
        <v>-0.0003888057038</v>
      </c>
      <c r="E218" s="24" t="n">
        <v>0.003299814619</v>
      </c>
      <c r="F218" s="16" t="n">
        <v>0.95</v>
      </c>
      <c r="G218" s="16" t="n">
        <v>0.4</v>
      </c>
    </row>
    <row r="219">
      <c r="A219" s="15" t="inlineStr">
        <is>
          <t>migration_effect</t>
        </is>
      </c>
      <c r="B219" s="15" t="inlineStr">
        <is>
          <t>weak_demand/wide_supply/strong_reverse/low_noise</t>
        </is>
      </c>
      <c r="C219" s="12" t="n">
        <v>20</v>
      </c>
      <c r="D219" s="19" t="n">
        <v>-0.0007231040233999999</v>
      </c>
      <c r="E219" s="24" t="n">
        <v>0.002060490723</v>
      </c>
      <c r="F219" s="16" t="n">
        <v>1</v>
      </c>
      <c r="G219" s="16" t="n">
        <v>0.05</v>
      </c>
    </row>
    <row r="220">
      <c r="A220" s="15" t="inlineStr">
        <is>
          <t>migration_naive</t>
        </is>
      </c>
      <c r="B220" s="15" t="inlineStr">
        <is>
          <t>strong_demand/narrow_supply/mild_reverse/high_noise</t>
        </is>
      </c>
      <c r="C220" s="12" t="n">
        <v>20</v>
      </c>
      <c r="D220" s="19" t="n">
        <v>-0.00328012447</v>
      </c>
      <c r="E220" s="24" t="n">
        <v>0.004649140155</v>
      </c>
      <c r="F220" s="16" t="n">
        <v>0.85</v>
      </c>
      <c r="G220" s="16" t="n"/>
    </row>
    <row r="221">
      <c r="A221" s="15" t="inlineStr">
        <is>
          <t>migration_naive</t>
        </is>
      </c>
      <c r="B221" s="15" t="inlineStr">
        <is>
          <t>strong_demand/narrow_supply/mild_reverse/low_noise</t>
        </is>
      </c>
      <c r="C221" s="12" t="n">
        <v>20</v>
      </c>
      <c r="D221" s="19" t="n">
        <v>-0.003150427845</v>
      </c>
      <c r="E221" s="24" t="n">
        <v>0.003883911821</v>
      </c>
      <c r="F221" s="16" t="n">
        <v>0.55</v>
      </c>
      <c r="G221" s="16" t="n"/>
    </row>
    <row r="222">
      <c r="A222" s="15" t="inlineStr">
        <is>
          <t>migration_naive</t>
        </is>
      </c>
      <c r="B222" s="15" t="inlineStr">
        <is>
          <t>strong_demand/narrow_supply/none_reverse/high_noise</t>
        </is>
      </c>
      <c r="C222" s="12" t="n">
        <v>20</v>
      </c>
      <c r="D222" s="19" t="n">
        <v>-0.004041645049</v>
      </c>
      <c r="E222" s="24" t="n">
        <v>0.0051531159</v>
      </c>
      <c r="F222" s="16" t="n">
        <v>0.8</v>
      </c>
      <c r="G222" s="16" t="n"/>
    </row>
    <row r="223">
      <c r="A223" s="15" t="inlineStr">
        <is>
          <t>migration_naive</t>
        </is>
      </c>
      <c r="B223" s="15" t="inlineStr">
        <is>
          <t>strong_demand/narrow_supply/none_reverse/low_noise</t>
        </is>
      </c>
      <c r="C223" s="12" t="n">
        <v>20</v>
      </c>
      <c r="D223" s="19" t="n">
        <v>-0.003700666614</v>
      </c>
      <c r="E223" s="24" t="n">
        <v>0.004274473712</v>
      </c>
      <c r="F223" s="16" t="n">
        <v>0.65</v>
      </c>
      <c r="G223" s="16" t="n"/>
    </row>
    <row r="224">
      <c r="A224" s="15" t="inlineStr">
        <is>
          <t>migration_naive</t>
        </is>
      </c>
      <c r="B224" s="15" t="inlineStr">
        <is>
          <t>strong_demand/narrow_supply/strong_reverse/high_noise</t>
        </is>
      </c>
      <c r="C224" s="12" t="n">
        <v>20</v>
      </c>
      <c r="D224" s="19" t="n">
        <v>-0.005492972549</v>
      </c>
      <c r="E224" s="24" t="n">
        <v>0.005911828339</v>
      </c>
      <c r="F224" s="16" t="n">
        <v>0.2</v>
      </c>
      <c r="G224" s="16" t="n"/>
    </row>
    <row r="225">
      <c r="A225" s="15" t="inlineStr">
        <is>
          <t>migration_naive</t>
        </is>
      </c>
      <c r="B225" s="15" t="inlineStr">
        <is>
          <t>strong_demand/narrow_supply/strong_reverse/low_noise</t>
        </is>
      </c>
      <c r="C225" s="12" t="n">
        <v>20</v>
      </c>
      <c r="D225" s="19" t="n">
        <v>-0.005874633514</v>
      </c>
      <c r="E225" s="24" t="n">
        <v>0.00616461713</v>
      </c>
      <c r="F225" s="16" t="n">
        <v>0.05</v>
      </c>
      <c r="G225" s="16" t="n"/>
    </row>
    <row r="226">
      <c r="A226" s="15" t="inlineStr">
        <is>
          <t>migration_naive</t>
        </is>
      </c>
      <c r="B226" s="15" t="inlineStr">
        <is>
          <t>strong_demand/wide_supply/mild_reverse/high_noise</t>
        </is>
      </c>
      <c r="C226" s="12" t="n">
        <v>20</v>
      </c>
      <c r="D226" s="19" t="n">
        <v>-0.00334584075</v>
      </c>
      <c r="E226" s="24" t="n">
        <v>0.004757887608</v>
      </c>
      <c r="F226" s="16" t="n">
        <v>0.8</v>
      </c>
      <c r="G226" s="16" t="n"/>
    </row>
    <row r="227">
      <c r="A227" s="15" t="inlineStr">
        <is>
          <t>migration_naive</t>
        </is>
      </c>
      <c r="B227" s="15" t="inlineStr">
        <is>
          <t>strong_demand/wide_supply/mild_reverse/low_noise</t>
        </is>
      </c>
      <c r="C227" s="12" t="n">
        <v>20</v>
      </c>
      <c r="D227" s="19" t="n">
        <v>-0.003210093545</v>
      </c>
      <c r="E227" s="24" t="n">
        <v>0.004014709158</v>
      </c>
      <c r="F227" s="16" t="n">
        <v>0.55</v>
      </c>
      <c r="G227" s="16" t="n"/>
    </row>
    <row r="228">
      <c r="A228" s="15" t="inlineStr">
        <is>
          <t>migration_naive</t>
        </is>
      </c>
      <c r="B228" s="15" t="inlineStr">
        <is>
          <t>strong_demand/wide_supply/none_reverse/high_noise</t>
        </is>
      </c>
      <c r="C228" s="12" t="n">
        <v>20</v>
      </c>
      <c r="D228" s="19" t="n">
        <v>-0.004037097963</v>
      </c>
      <c r="E228" s="24" t="n">
        <v>0.005236035929</v>
      </c>
      <c r="F228" s="16" t="n">
        <v>0.8</v>
      </c>
      <c r="G228" s="16" t="n"/>
    </row>
    <row r="229">
      <c r="A229" s="15" t="inlineStr">
        <is>
          <t>migration_naive</t>
        </is>
      </c>
      <c r="B229" s="15" t="inlineStr">
        <is>
          <t>strong_demand/wide_supply/none_reverse/low_noise</t>
        </is>
      </c>
      <c r="C229" s="12" t="n">
        <v>20</v>
      </c>
      <c r="D229" s="19" t="n">
        <v>-0.003703141895</v>
      </c>
      <c r="E229" s="24" t="n">
        <v>0.004349845628</v>
      </c>
      <c r="F229" s="16" t="n">
        <v>0.7</v>
      </c>
      <c r="G229" s="16" t="n"/>
    </row>
    <row r="230">
      <c r="A230" s="15" t="inlineStr">
        <is>
          <t>migration_naive</t>
        </is>
      </c>
      <c r="B230" s="15" t="inlineStr">
        <is>
          <t>strong_demand/wide_supply/strong_reverse/high_noise</t>
        </is>
      </c>
      <c r="C230" s="12" t="n">
        <v>20</v>
      </c>
      <c r="D230" s="19" t="n">
        <v>-0.005849502637</v>
      </c>
      <c r="E230" s="24" t="n">
        <v>0.006306947918</v>
      </c>
      <c r="F230" s="16" t="n">
        <v>0.2</v>
      </c>
      <c r="G230" s="16" t="n"/>
    </row>
    <row r="231">
      <c r="A231" s="15" t="inlineStr">
        <is>
          <t>migration_naive</t>
        </is>
      </c>
      <c r="B231" s="15" t="inlineStr">
        <is>
          <t>strong_demand/wide_supply/strong_reverse/low_noise</t>
        </is>
      </c>
      <c r="C231" s="12" t="n">
        <v>20</v>
      </c>
      <c r="D231" s="19" t="n">
        <v>-0.0062842036</v>
      </c>
      <c r="E231" s="24" t="n">
        <v>0.006675065592</v>
      </c>
      <c r="F231" s="16" t="n">
        <v>0.05</v>
      </c>
      <c r="G231" s="16" t="n"/>
    </row>
    <row r="232">
      <c r="A232" s="15" t="inlineStr">
        <is>
          <t>migration_naive</t>
        </is>
      </c>
      <c r="B232" s="15" t="inlineStr">
        <is>
          <t>weak_demand/narrow_supply/mild_reverse/high_noise</t>
        </is>
      </c>
      <c r="C232" s="12" t="n">
        <v>20</v>
      </c>
      <c r="D232" s="19" t="n">
        <v>-0.001718663433</v>
      </c>
      <c r="E232" s="24" t="n">
        <v>0.002824763261</v>
      </c>
      <c r="F232" s="16" t="n">
        <v>1</v>
      </c>
      <c r="G232" s="16" t="n"/>
    </row>
    <row r="233">
      <c r="A233" s="15" t="inlineStr">
        <is>
          <t>migration_naive</t>
        </is>
      </c>
      <c r="B233" s="15" t="inlineStr">
        <is>
          <t>weak_demand/narrow_supply/mild_reverse/low_noise</t>
        </is>
      </c>
      <c r="C233" s="12" t="n">
        <v>20</v>
      </c>
      <c r="D233" s="19" t="n">
        <v>-0.001987603261</v>
      </c>
      <c r="E233" s="24" t="n">
        <v>0.002315645814</v>
      </c>
      <c r="F233" s="16" t="n">
        <v>0.95</v>
      </c>
      <c r="G233" s="16" t="n"/>
    </row>
    <row r="234">
      <c r="A234" s="15" t="inlineStr">
        <is>
          <t>migration_naive</t>
        </is>
      </c>
      <c r="B234" s="15" t="inlineStr">
        <is>
          <t>weak_demand/narrow_supply/none_reverse/high_noise</t>
        </is>
      </c>
      <c r="C234" s="12" t="n">
        <v>20</v>
      </c>
      <c r="D234" s="19" t="n">
        <v>-0.001869889959</v>
      </c>
      <c r="E234" s="24" t="n">
        <v>0.003094168284</v>
      </c>
      <c r="F234" s="16" t="n">
        <v>1</v>
      </c>
      <c r="G234" s="16" t="n"/>
    </row>
    <row r="235">
      <c r="A235" s="15" t="inlineStr">
        <is>
          <t>migration_naive</t>
        </is>
      </c>
      <c r="B235" s="15" t="inlineStr">
        <is>
          <t>weak_demand/narrow_supply/none_reverse/low_noise</t>
        </is>
      </c>
      <c r="C235" s="12" t="n">
        <v>20</v>
      </c>
      <c r="D235" s="19" t="n">
        <v>-0.002289903242</v>
      </c>
      <c r="E235" s="24" t="n">
        <v>0.002909620582</v>
      </c>
      <c r="F235" s="16" t="n">
        <v>0.9</v>
      </c>
      <c r="G235" s="16" t="n"/>
    </row>
    <row r="236">
      <c r="A236" s="15" t="inlineStr">
        <is>
          <t>migration_naive</t>
        </is>
      </c>
      <c r="B236" s="15" t="inlineStr">
        <is>
          <t>weak_demand/narrow_supply/strong_reverse/high_noise</t>
        </is>
      </c>
      <c r="C236" s="12" t="n">
        <v>20</v>
      </c>
      <c r="D236" s="19" t="n">
        <v>-0.004060100666</v>
      </c>
      <c r="E236" s="24" t="n">
        <v>0.00435760293</v>
      </c>
      <c r="F236" s="16" t="n">
        <v>0.4</v>
      </c>
      <c r="G236" s="16" t="n"/>
    </row>
    <row r="237">
      <c r="A237" s="15" t="inlineStr">
        <is>
          <t>migration_naive</t>
        </is>
      </c>
      <c r="B237" s="15" t="inlineStr">
        <is>
          <t>weak_demand/narrow_supply/strong_reverse/low_noise</t>
        </is>
      </c>
      <c r="C237" s="12" t="n">
        <v>20</v>
      </c>
      <c r="D237" s="19" t="n">
        <v>-0.004256532524</v>
      </c>
      <c r="E237" s="24" t="n">
        <v>0.004345936212</v>
      </c>
      <c r="F237" s="16" t="n">
        <v>0.05</v>
      </c>
      <c r="G237" s="16" t="n"/>
    </row>
    <row r="238">
      <c r="A238" s="15" t="inlineStr">
        <is>
          <t>migration_naive</t>
        </is>
      </c>
      <c r="B238" s="15" t="inlineStr">
        <is>
          <t>weak_demand/wide_supply/mild_reverse/high_noise</t>
        </is>
      </c>
      <c r="C238" s="12" t="n">
        <v>20</v>
      </c>
      <c r="D238" s="19" t="n">
        <v>-0.001927132881</v>
      </c>
      <c r="E238" s="24" t="n">
        <v>0.003006081959</v>
      </c>
      <c r="F238" s="16" t="n">
        <v>0.9</v>
      </c>
      <c r="G238" s="16" t="n"/>
    </row>
    <row r="239">
      <c r="A239" s="15" t="inlineStr">
        <is>
          <t>migration_naive</t>
        </is>
      </c>
      <c r="B239" s="15" t="inlineStr">
        <is>
          <t>weak_demand/wide_supply/mild_reverse/low_noise</t>
        </is>
      </c>
      <c r="C239" s="12" t="n">
        <v>20</v>
      </c>
      <c r="D239" s="19" t="n">
        <v>-0.002195724253</v>
      </c>
      <c r="E239" s="24" t="n">
        <v>0.002513931098</v>
      </c>
      <c r="F239" s="16" t="n">
        <v>0.9</v>
      </c>
      <c r="G239" s="16" t="n"/>
    </row>
    <row r="240">
      <c r="A240" s="15" t="inlineStr">
        <is>
          <t>migration_naive</t>
        </is>
      </c>
      <c r="B240" s="15" t="inlineStr">
        <is>
          <t>weak_demand/wide_supply/none_reverse/high_noise</t>
        </is>
      </c>
      <c r="C240" s="12" t="n">
        <v>20</v>
      </c>
      <c r="D240" s="19" t="n">
        <v>-0.001882034115</v>
      </c>
      <c r="E240" s="24" t="n">
        <v>0.003128770726</v>
      </c>
      <c r="F240" s="16" t="n">
        <v>1</v>
      </c>
      <c r="G240" s="16" t="n"/>
    </row>
    <row r="241">
      <c r="A241" s="15" t="inlineStr">
        <is>
          <t>migration_naive</t>
        </is>
      </c>
      <c r="B241" s="15" t="inlineStr">
        <is>
          <t>weak_demand/wide_supply/none_reverse/low_noise</t>
        </is>
      </c>
      <c r="C241" s="12" t="n">
        <v>20</v>
      </c>
      <c r="D241" s="19" t="n">
        <v>-0.002295055725</v>
      </c>
      <c r="E241" s="24" t="n">
        <v>0.00290948178</v>
      </c>
      <c r="F241" s="16" t="n">
        <v>0.9</v>
      </c>
      <c r="G241" s="16" t="n"/>
    </row>
    <row r="242">
      <c r="A242" s="15" t="inlineStr">
        <is>
          <t>migration_naive</t>
        </is>
      </c>
      <c r="B242" s="15" t="inlineStr">
        <is>
          <t>weak_demand/wide_supply/strong_reverse/high_noise</t>
        </is>
      </c>
      <c r="C242" s="12" t="n">
        <v>20</v>
      </c>
      <c r="D242" s="19" t="n">
        <v>-0.004417241647</v>
      </c>
      <c r="E242" s="24" t="n">
        <v>0.004679387723</v>
      </c>
      <c r="F242" s="16" t="n">
        <v>0.35</v>
      </c>
      <c r="G242" s="16" t="n"/>
    </row>
    <row r="243">
      <c r="A243" s="15" t="inlineStr">
        <is>
          <t>migration_naive</t>
        </is>
      </c>
      <c r="B243" s="15" t="inlineStr">
        <is>
          <t>weak_demand/wide_supply/strong_reverse/low_noise</t>
        </is>
      </c>
      <c r="C243" s="12" t="n">
        <v>20</v>
      </c>
      <c r="D243" s="19" t="n">
        <v>-0.004630865329</v>
      </c>
      <c r="E243" s="24" t="n">
        <v>0.004753139898</v>
      </c>
      <c r="F243" s="16" t="n">
        <v>0.05</v>
      </c>
      <c r="G243" s="16" t="n"/>
    </row>
    <row r="244">
      <c r="A244" s="15" t="inlineStr">
        <is>
          <t>migration_placebo</t>
        </is>
      </c>
      <c r="B244" s="15" t="inlineStr">
        <is>
          <t>strong_demand/narrow_supply/mild_reverse/high_noise</t>
        </is>
      </c>
      <c r="C244" s="12" t="n">
        <v>20</v>
      </c>
      <c r="D244" s="19" t="n">
        <v>-0.00279375963</v>
      </c>
      <c r="E244" s="24" t="n">
        <v>0.004149735055</v>
      </c>
      <c r="F244" s="16" t="n">
        <v>0.95</v>
      </c>
      <c r="G244" s="16" t="n"/>
    </row>
    <row r="245">
      <c r="A245" s="15" t="inlineStr">
        <is>
          <t>migration_placebo</t>
        </is>
      </c>
      <c r="B245" s="15" t="inlineStr">
        <is>
          <t>strong_demand/narrow_supply/mild_reverse/low_noise</t>
        </is>
      </c>
      <c r="C245" s="12" t="n">
        <v>20</v>
      </c>
      <c r="D245" s="19" t="n">
        <v>-0.0009134288339</v>
      </c>
      <c r="E245" s="24" t="n">
        <v>0.002214959362</v>
      </c>
      <c r="F245" s="16" t="n">
        <v>0.95</v>
      </c>
      <c r="G245" s="16" t="n"/>
    </row>
    <row r="246">
      <c r="A246" s="15" t="inlineStr">
        <is>
          <t>migration_placebo</t>
        </is>
      </c>
      <c r="B246" s="15" t="inlineStr">
        <is>
          <t>strong_demand/narrow_supply/none_reverse/high_noise</t>
        </is>
      </c>
      <c r="C246" s="12" t="n">
        <v>20</v>
      </c>
      <c r="D246" s="19" t="n">
        <v>-0.000138110343</v>
      </c>
      <c r="E246" s="24" t="n">
        <v>0.003541644344</v>
      </c>
      <c r="F246" s="16" t="n">
        <v>0.95</v>
      </c>
      <c r="G246" s="16" t="n"/>
    </row>
    <row r="247">
      <c r="A247" s="15" t="inlineStr">
        <is>
          <t>migration_placebo</t>
        </is>
      </c>
      <c r="B247" s="15" t="inlineStr">
        <is>
          <t>strong_demand/narrow_supply/none_reverse/low_noise</t>
        </is>
      </c>
      <c r="C247" s="12" t="n">
        <v>20</v>
      </c>
      <c r="D247" s="19" t="n">
        <v>-0.0001492349673</v>
      </c>
      <c r="E247" s="24" t="n">
        <v>0.00218642218</v>
      </c>
      <c r="F247" s="16" t="n">
        <v>0.95</v>
      </c>
      <c r="G247" s="16" t="n"/>
    </row>
    <row r="248">
      <c r="A248" s="15" t="inlineStr">
        <is>
          <t>migration_placebo</t>
        </is>
      </c>
      <c r="B248" s="15" t="inlineStr">
        <is>
          <t>strong_demand/narrow_supply/strong_reverse/high_noise</t>
        </is>
      </c>
      <c r="C248" s="12" t="n">
        <v>20</v>
      </c>
      <c r="D248" s="19" t="n">
        <v>-0.01022133304</v>
      </c>
      <c r="E248" s="24" t="n">
        <v>0.01073826414</v>
      </c>
      <c r="F248" s="16" t="n">
        <v>0.15</v>
      </c>
      <c r="G248" s="16" t="n"/>
    </row>
    <row r="249">
      <c r="A249" s="15" t="inlineStr">
        <is>
          <t>migration_placebo</t>
        </is>
      </c>
      <c r="B249" s="15" t="inlineStr">
        <is>
          <t>strong_demand/narrow_supply/strong_reverse/low_noise</t>
        </is>
      </c>
      <c r="C249" s="12" t="n">
        <v>20</v>
      </c>
      <c r="D249" s="19" t="n">
        <v>-0.004732441622</v>
      </c>
      <c r="E249" s="24" t="n">
        <v>0.005415265579</v>
      </c>
      <c r="F249" s="16" t="n">
        <v>0.55</v>
      </c>
      <c r="G249" s="16" t="n"/>
    </row>
    <row r="250">
      <c r="A250" s="15" t="inlineStr">
        <is>
          <t>migration_placebo</t>
        </is>
      </c>
      <c r="B250" s="15" t="inlineStr">
        <is>
          <t>strong_demand/wide_supply/mild_reverse/high_noise</t>
        </is>
      </c>
      <c r="C250" s="12" t="n">
        <v>20</v>
      </c>
      <c r="D250" s="19" t="n">
        <v>-0.002906751589</v>
      </c>
      <c r="E250" s="24" t="n">
        <v>0.004207912944</v>
      </c>
      <c r="F250" s="16" t="n">
        <v>0.95</v>
      </c>
      <c r="G250" s="16" t="n"/>
    </row>
    <row r="251">
      <c r="A251" s="15" t="inlineStr">
        <is>
          <t>migration_placebo</t>
        </is>
      </c>
      <c r="B251" s="15" t="inlineStr">
        <is>
          <t>strong_demand/wide_supply/mild_reverse/low_noise</t>
        </is>
      </c>
      <c r="C251" s="12" t="n">
        <v>20</v>
      </c>
      <c r="D251" s="19" t="n">
        <v>-0.001049779691</v>
      </c>
      <c r="E251" s="24" t="n">
        <v>0.002313191316</v>
      </c>
      <c r="F251" s="16" t="n">
        <v>0.95</v>
      </c>
      <c r="G251" s="16" t="n"/>
    </row>
    <row r="252">
      <c r="A252" s="15" t="inlineStr">
        <is>
          <t>migration_placebo</t>
        </is>
      </c>
      <c r="B252" s="15" t="inlineStr">
        <is>
          <t>strong_demand/wide_supply/none_reverse/high_noise</t>
        </is>
      </c>
      <c r="C252" s="12" t="n">
        <v>20</v>
      </c>
      <c r="D252" s="19" t="n">
        <v>-0.0001534051912</v>
      </c>
      <c r="E252" s="24" t="n">
        <v>0.003546948277</v>
      </c>
      <c r="F252" s="16" t="n">
        <v>0.95</v>
      </c>
      <c r="G252" s="16" t="n"/>
    </row>
    <row r="253">
      <c r="A253" s="15" t="inlineStr">
        <is>
          <t>migration_placebo</t>
        </is>
      </c>
      <c r="B253" s="15" t="inlineStr">
        <is>
          <t>strong_demand/wide_supply/none_reverse/low_noise</t>
        </is>
      </c>
      <c r="C253" s="12" t="n">
        <v>20</v>
      </c>
      <c r="D253" s="19" t="n">
        <v>-0.000183672186</v>
      </c>
      <c r="E253" s="24" t="n">
        <v>0.002228591151</v>
      </c>
      <c r="F253" s="16" t="n">
        <v>0.95</v>
      </c>
      <c r="G253" s="16" t="n"/>
    </row>
    <row r="254">
      <c r="A254" s="15" t="inlineStr">
        <is>
          <t>migration_placebo</t>
        </is>
      </c>
      <c r="B254" s="15" t="inlineStr">
        <is>
          <t>strong_demand/wide_supply/strong_reverse/high_noise</t>
        </is>
      </c>
      <c r="C254" s="12" t="n">
        <v>20</v>
      </c>
      <c r="D254" s="19" t="n">
        <v>-0.01077835717</v>
      </c>
      <c r="E254" s="24" t="n">
        <v>0.0112884948</v>
      </c>
      <c r="F254" s="16" t="n">
        <v>0.15</v>
      </c>
      <c r="G254" s="16" t="n"/>
    </row>
    <row r="255">
      <c r="A255" s="15" t="inlineStr">
        <is>
          <t>migration_placebo</t>
        </is>
      </c>
      <c r="B255" s="15" t="inlineStr">
        <is>
          <t>strong_demand/wide_supply/strong_reverse/low_noise</t>
        </is>
      </c>
      <c r="C255" s="12" t="n">
        <v>20</v>
      </c>
      <c r="D255" s="19" t="n">
        <v>-0.005384559737</v>
      </c>
      <c r="E255" s="24" t="n">
        <v>0.006033462672</v>
      </c>
      <c r="F255" s="16" t="n">
        <v>0.45</v>
      </c>
      <c r="G255" s="16" t="n"/>
    </row>
    <row r="256">
      <c r="A256" s="15" t="inlineStr">
        <is>
          <t>migration_placebo</t>
        </is>
      </c>
      <c r="B256" s="15" t="inlineStr">
        <is>
          <t>weak_demand/narrow_supply/mild_reverse/high_noise</t>
        </is>
      </c>
      <c r="C256" s="12" t="n">
        <v>20</v>
      </c>
      <c r="D256" s="19" t="n">
        <v>-0.002450799718</v>
      </c>
      <c r="E256" s="24" t="n">
        <v>0.004098625638</v>
      </c>
      <c r="F256" s="16" t="n">
        <v>0.95</v>
      </c>
      <c r="G256" s="16" t="n"/>
    </row>
    <row r="257">
      <c r="A257" s="15" t="inlineStr">
        <is>
          <t>migration_placebo</t>
        </is>
      </c>
      <c r="B257" s="15" t="inlineStr">
        <is>
          <t>weak_demand/narrow_supply/mild_reverse/low_noise</t>
        </is>
      </c>
      <c r="C257" s="12" t="n">
        <v>20</v>
      </c>
      <c r="D257" s="19" t="n">
        <v>-0.0006640563955</v>
      </c>
      <c r="E257" s="24" t="n">
        <v>0.002195808678</v>
      </c>
      <c r="F257" s="16" t="n">
        <v>1</v>
      </c>
      <c r="G257" s="16" t="n"/>
    </row>
    <row r="258">
      <c r="A258" s="15" t="inlineStr">
        <is>
          <t>migration_placebo</t>
        </is>
      </c>
      <c r="B258" s="15" t="inlineStr">
        <is>
          <t>weak_demand/narrow_supply/none_reverse/high_noise</t>
        </is>
      </c>
      <c r="C258" s="12" t="n">
        <v>20</v>
      </c>
      <c r="D258" s="19" t="n">
        <v>-3.349289391e-05</v>
      </c>
      <c r="E258" s="24" t="n">
        <v>0.003109139581</v>
      </c>
      <c r="F258" s="16" t="n">
        <v>0.95</v>
      </c>
      <c r="G258" s="16" t="n"/>
    </row>
    <row r="259">
      <c r="A259" s="15" t="inlineStr">
        <is>
          <t>migration_placebo</t>
        </is>
      </c>
      <c r="B259" s="15" t="inlineStr">
        <is>
          <t>weak_demand/narrow_supply/none_reverse/low_noise</t>
        </is>
      </c>
      <c r="C259" s="12" t="n">
        <v>20</v>
      </c>
      <c r="D259" s="19" t="n">
        <v>6.903569883999999e-05</v>
      </c>
      <c r="E259" s="24" t="n">
        <v>0.002299456727</v>
      </c>
      <c r="F259" s="16" t="n">
        <v>0.9</v>
      </c>
      <c r="G259" s="16" t="n"/>
    </row>
    <row r="260">
      <c r="A260" s="15" t="inlineStr">
        <is>
          <t>migration_placebo</t>
        </is>
      </c>
      <c r="B260" s="15" t="inlineStr">
        <is>
          <t>weak_demand/narrow_supply/strong_reverse/high_noise</t>
        </is>
      </c>
      <c r="C260" s="12" t="n">
        <v>20</v>
      </c>
      <c r="D260" s="19" t="n">
        <v>-0.006639750964</v>
      </c>
      <c r="E260" s="24" t="n">
        <v>0.007327416888</v>
      </c>
      <c r="F260" s="16" t="n">
        <v>0.6</v>
      </c>
      <c r="G260" s="16" t="n"/>
    </row>
    <row r="261">
      <c r="A261" s="15" t="inlineStr">
        <is>
          <t>migration_placebo</t>
        </is>
      </c>
      <c r="B261" s="15" t="inlineStr">
        <is>
          <t>weak_demand/narrow_supply/strong_reverse/low_noise</t>
        </is>
      </c>
      <c r="C261" s="12" t="n">
        <v>20</v>
      </c>
      <c r="D261" s="19" t="n">
        <v>-0.00230196021</v>
      </c>
      <c r="E261" s="24" t="n">
        <v>0.003024994116</v>
      </c>
      <c r="F261" s="16" t="n">
        <v>0.9</v>
      </c>
      <c r="G261" s="16" t="n"/>
    </row>
    <row r="262">
      <c r="A262" s="15" t="inlineStr">
        <is>
          <t>migration_placebo</t>
        </is>
      </c>
      <c r="B262" s="15" t="inlineStr">
        <is>
          <t>weak_demand/wide_supply/mild_reverse/high_noise</t>
        </is>
      </c>
      <c r="C262" s="12" t="n">
        <v>20</v>
      </c>
      <c r="D262" s="19" t="n">
        <v>-0.002569265272</v>
      </c>
      <c r="E262" s="24" t="n">
        <v>0.004132207969</v>
      </c>
      <c r="F262" s="16" t="n">
        <v>0.95</v>
      </c>
      <c r="G262" s="16" t="n"/>
    </row>
    <row r="263">
      <c r="A263" s="15" t="inlineStr">
        <is>
          <t>migration_placebo</t>
        </is>
      </c>
      <c r="B263" s="15" t="inlineStr">
        <is>
          <t>weak_demand/wide_supply/mild_reverse/low_noise</t>
        </is>
      </c>
      <c r="C263" s="12" t="n">
        <v>20</v>
      </c>
      <c r="D263" s="19" t="n">
        <v>-0.0007947018806</v>
      </c>
      <c r="E263" s="24" t="n">
        <v>0.002196202556</v>
      </c>
      <c r="F263" s="16" t="n">
        <v>1</v>
      </c>
      <c r="G263" s="16" t="n"/>
    </row>
    <row r="264">
      <c r="A264" s="15" t="inlineStr">
        <is>
          <t>migration_placebo</t>
        </is>
      </c>
      <c r="B264" s="15" t="inlineStr">
        <is>
          <t>weak_demand/wide_supply/none_reverse/high_noise</t>
        </is>
      </c>
      <c r="C264" s="12" t="n">
        <v>20</v>
      </c>
      <c r="D264" s="19" t="n">
        <v>-6.983828327999999e-05</v>
      </c>
      <c r="E264" s="24" t="n">
        <v>0.003103206274</v>
      </c>
      <c r="F264" s="16" t="n">
        <v>0.95</v>
      </c>
      <c r="G264" s="16" t="n"/>
    </row>
    <row r="265">
      <c r="A265" s="15" t="inlineStr">
        <is>
          <t>migration_placebo</t>
        </is>
      </c>
      <c r="B265" s="15" t="inlineStr">
        <is>
          <t>weak_demand/wide_supply/none_reverse/low_noise</t>
        </is>
      </c>
      <c r="C265" s="12" t="n">
        <v>20</v>
      </c>
      <c r="D265" s="19" t="n">
        <v>2.260599465e-05</v>
      </c>
      <c r="E265" s="24" t="n">
        <v>0.00229339067</v>
      </c>
      <c r="F265" s="16" t="n">
        <v>0.95</v>
      </c>
      <c r="G265" s="16" t="n"/>
    </row>
    <row r="266">
      <c r="A266" s="15" t="inlineStr">
        <is>
          <t>migration_placebo</t>
        </is>
      </c>
      <c r="B266" s="15" t="inlineStr">
        <is>
          <t>weak_demand/wide_supply/strong_reverse/high_noise</t>
        </is>
      </c>
      <c r="C266" s="12" t="n">
        <v>20</v>
      </c>
      <c r="D266" s="19" t="n">
        <v>-0.006968577641</v>
      </c>
      <c r="E266" s="24" t="n">
        <v>0.007586089904</v>
      </c>
      <c r="F266" s="16" t="n">
        <v>0.6</v>
      </c>
      <c r="G266" s="16" t="n"/>
    </row>
    <row r="267">
      <c r="A267" s="15" t="inlineStr">
        <is>
          <t>migration_placebo</t>
        </is>
      </c>
      <c r="B267" s="15" t="inlineStr">
        <is>
          <t>weak_demand/wide_supply/strong_reverse/low_noise</t>
        </is>
      </c>
      <c r="C267" s="12" t="n">
        <v>20</v>
      </c>
      <c r="D267" s="19" t="n">
        <v>-0.002704136038</v>
      </c>
      <c r="E267" s="24" t="n">
        <v>0.003350479816</v>
      </c>
      <c r="F267" s="16" t="n">
        <v>0.95</v>
      </c>
      <c r="G267" s="16" t="n"/>
    </row>
    <row r="268">
      <c r="A268" s="15" t="inlineStr">
        <is>
          <t>ranking_adjusted</t>
        </is>
      </c>
      <c r="B268" s="15" t="inlineStr">
        <is>
          <t>strong_demand/narrow_supply/mild_reverse/high_noise</t>
        </is>
      </c>
      <c r="C268" s="12" t="n">
        <v>20</v>
      </c>
      <c r="D268" s="19" t="n">
        <v>-0.03744615971</v>
      </c>
      <c r="E268" s="24" t="n">
        <v>0.03949254313</v>
      </c>
      <c r="F268" s="16" t="n"/>
      <c r="G268" s="16" t="n">
        <v>0.895204879</v>
      </c>
    </row>
    <row r="269">
      <c r="A269" s="15" t="inlineStr">
        <is>
          <t>ranking_adjusted</t>
        </is>
      </c>
      <c r="B269" s="15" t="inlineStr">
        <is>
          <t>strong_demand/narrow_supply/mild_reverse/low_noise</t>
        </is>
      </c>
      <c r="C269" s="12" t="n">
        <v>20</v>
      </c>
      <c r="D269" s="19" t="n">
        <v>-0.04591194969</v>
      </c>
      <c r="E269" s="24" t="n">
        <v>0.04941761515</v>
      </c>
      <c r="F269" s="16" t="n"/>
      <c r="G269" s="16" t="n">
        <v>0.8920182961999999</v>
      </c>
    </row>
    <row r="270">
      <c r="A270" s="15" t="inlineStr">
        <is>
          <t>ranking_adjusted</t>
        </is>
      </c>
      <c r="B270" s="15" t="inlineStr">
        <is>
          <t>strong_demand/narrow_supply/none_reverse/high_noise</t>
        </is>
      </c>
      <c r="C270" s="12" t="n">
        <v>20</v>
      </c>
      <c r="D270" s="19" t="n">
        <v>-0.02660949114</v>
      </c>
      <c r="E270" s="24" t="n">
        <v>0.02786043314</v>
      </c>
      <c r="F270" s="16" t="n"/>
      <c r="G270" s="16" t="n">
        <v>0.9146826758</v>
      </c>
    </row>
    <row r="271">
      <c r="A271" s="15" t="inlineStr">
        <is>
          <t>ranking_adjusted</t>
        </is>
      </c>
      <c r="B271" s="15" t="inlineStr">
        <is>
          <t>strong_demand/narrow_supply/none_reverse/low_noise</t>
        </is>
      </c>
      <c r="C271" s="12" t="n">
        <v>20</v>
      </c>
      <c r="D271" s="19" t="n">
        <v>-0.0328759291</v>
      </c>
      <c r="E271" s="24" t="n">
        <v>0.0356617055</v>
      </c>
      <c r="F271" s="16" t="n"/>
      <c r="G271" s="16" t="n">
        <v>0.9141185439</v>
      </c>
    </row>
    <row r="272">
      <c r="A272" s="15" t="inlineStr">
        <is>
          <t>ranking_adjusted</t>
        </is>
      </c>
      <c r="B272" s="15" t="inlineStr">
        <is>
          <t>strong_demand/narrow_supply/strong_reverse/high_noise</t>
        </is>
      </c>
      <c r="C272" s="12" t="n">
        <v>20</v>
      </c>
      <c r="D272" s="19" t="n">
        <v>-0.09394320564</v>
      </c>
      <c r="E272" s="24" t="n">
        <v>0.1028844653</v>
      </c>
      <c r="F272" s="16" t="n"/>
      <c r="G272" s="16" t="n">
        <v>0.8109014675</v>
      </c>
    </row>
    <row r="273">
      <c r="A273" s="15" t="inlineStr">
        <is>
          <t>ranking_adjusted</t>
        </is>
      </c>
      <c r="B273" s="15" t="inlineStr">
        <is>
          <t>strong_demand/narrow_supply/strong_reverse/low_noise</t>
        </is>
      </c>
      <c r="C273" s="12" t="n">
        <v>20</v>
      </c>
      <c r="D273" s="19" t="n">
        <v>-0.1237583381</v>
      </c>
      <c r="E273" s="24" t="n">
        <v>0.1430129512</v>
      </c>
      <c r="F273" s="16" t="n"/>
      <c r="G273" s="16" t="n">
        <v>0.8097617686</v>
      </c>
    </row>
    <row r="274">
      <c r="A274" s="15" t="inlineStr">
        <is>
          <t>ranking_adjusted</t>
        </is>
      </c>
      <c r="B274" s="15" t="inlineStr">
        <is>
          <t>strong_demand/wide_supply/mild_reverse/high_noise</t>
        </is>
      </c>
      <c r="C274" s="12" t="n">
        <v>20</v>
      </c>
      <c r="D274" s="19" t="n">
        <v>-0.03613112255</v>
      </c>
      <c r="E274" s="24" t="n">
        <v>0.03862304477</v>
      </c>
      <c r="F274" s="16" t="n"/>
      <c r="G274" s="16" t="n">
        <v>0.8936153993</v>
      </c>
    </row>
    <row r="275">
      <c r="A275" s="15" t="inlineStr">
        <is>
          <t>ranking_adjusted</t>
        </is>
      </c>
      <c r="B275" s="15" t="inlineStr">
        <is>
          <t>strong_demand/wide_supply/mild_reverse/low_noise</t>
        </is>
      </c>
      <c r="C275" s="12" t="n">
        <v>20</v>
      </c>
      <c r="D275" s="19" t="n">
        <v>-0.04365542215</v>
      </c>
      <c r="E275" s="24" t="n">
        <v>0.04717961677</v>
      </c>
      <c r="F275" s="16" t="n"/>
      <c r="G275" s="16" t="n">
        <v>0.8924147132</v>
      </c>
    </row>
    <row r="276">
      <c r="A276" s="15" t="inlineStr">
        <is>
          <t>ranking_adjusted</t>
        </is>
      </c>
      <c r="B276" s="15" t="inlineStr">
        <is>
          <t>strong_demand/wide_supply/none_reverse/high_noise</t>
        </is>
      </c>
      <c r="C276" s="12" t="n">
        <v>20</v>
      </c>
      <c r="D276" s="19" t="n">
        <v>-0.02670859539</v>
      </c>
      <c r="E276" s="24" t="n">
        <v>0.02831019046</v>
      </c>
      <c r="F276" s="16" t="n"/>
      <c r="G276" s="16" t="n">
        <v>0.9129597865</v>
      </c>
    </row>
    <row r="277">
      <c r="A277" s="15" t="inlineStr">
        <is>
          <t>ranking_adjusted</t>
        </is>
      </c>
      <c r="B277" s="15" t="inlineStr">
        <is>
          <t>strong_demand/wide_supply/none_reverse/low_noise</t>
        </is>
      </c>
      <c r="C277" s="12" t="n">
        <v>20</v>
      </c>
      <c r="D277" s="19" t="n">
        <v>-0.03144654088</v>
      </c>
      <c r="E277" s="24" t="n">
        <v>0.03374261846</v>
      </c>
      <c r="F277" s="16" t="n"/>
      <c r="G277" s="16" t="n">
        <v>0.9139203354</v>
      </c>
    </row>
    <row r="278">
      <c r="A278" s="15" t="inlineStr">
        <is>
          <t>ranking_adjusted</t>
        </is>
      </c>
      <c r="B278" s="15" t="inlineStr">
        <is>
          <t>strong_demand/wide_supply/strong_reverse/high_noise</t>
        </is>
      </c>
      <c r="C278" s="12" t="n">
        <v>20</v>
      </c>
      <c r="D278" s="19" t="n">
        <v>-0.09463312369</v>
      </c>
      <c r="E278" s="24" t="n">
        <v>0.1047423245</v>
      </c>
      <c r="F278" s="16" t="n"/>
      <c r="G278" s="16" t="n">
        <v>0.8021421765</v>
      </c>
    </row>
    <row r="279">
      <c r="A279" s="15" t="inlineStr">
        <is>
          <t>ranking_adjusted</t>
        </is>
      </c>
      <c r="B279" s="15" t="inlineStr">
        <is>
          <t>strong_demand/wide_supply/strong_reverse/low_noise</t>
        </is>
      </c>
      <c r="C279" s="12" t="n">
        <v>20</v>
      </c>
      <c r="D279" s="19" t="n">
        <v>-0.1203506766</v>
      </c>
      <c r="E279" s="24" t="n">
        <v>0.1359631031</v>
      </c>
      <c r="F279" s="16" t="n"/>
      <c r="G279" s="16" t="n">
        <v>0.801841052</v>
      </c>
    </row>
    <row r="280">
      <c r="A280" s="15" t="inlineStr">
        <is>
          <t>ranking_adjusted</t>
        </is>
      </c>
      <c r="B280" s="15" t="inlineStr">
        <is>
          <t>weak_demand/narrow_supply/mild_reverse/high_noise</t>
        </is>
      </c>
      <c r="C280" s="12" t="n">
        <v>20</v>
      </c>
      <c r="D280" s="19" t="n">
        <v>-0.02801982085</v>
      </c>
      <c r="E280" s="24" t="n">
        <v>0.029752901</v>
      </c>
      <c r="F280" s="16" t="n"/>
      <c r="G280" s="16" t="n">
        <v>0.9057175529</v>
      </c>
    </row>
    <row r="281">
      <c r="A281" s="15" t="inlineStr">
        <is>
          <t>ranking_adjusted</t>
        </is>
      </c>
      <c r="B281" s="15" t="inlineStr">
        <is>
          <t>weak_demand/narrow_supply/mild_reverse/low_noise</t>
        </is>
      </c>
      <c r="C281" s="12" t="n">
        <v>20</v>
      </c>
      <c r="D281" s="19" t="n">
        <v>-0.03005145798</v>
      </c>
      <c r="E281" s="24" t="n">
        <v>0.03140624964</v>
      </c>
      <c r="F281" s="16" t="n"/>
      <c r="G281" s="16" t="n">
        <v>0.9054621689</v>
      </c>
    </row>
    <row r="282">
      <c r="A282" s="15" t="inlineStr">
        <is>
          <t>ranking_adjusted</t>
        </is>
      </c>
      <c r="B282" s="15" t="inlineStr">
        <is>
          <t>weak_demand/narrow_supply/none_reverse/high_noise</t>
        </is>
      </c>
      <c r="C282" s="12" t="n">
        <v>20</v>
      </c>
      <c r="D282" s="19" t="n">
        <v>-0.03182771107</v>
      </c>
      <c r="E282" s="24" t="n">
        <v>0.03369979111</v>
      </c>
      <c r="F282" s="16" t="n"/>
      <c r="G282" s="16" t="n">
        <v>0.8915913856</v>
      </c>
    </row>
    <row r="283">
      <c r="A283" s="15" t="inlineStr">
        <is>
          <t>ranking_adjusted</t>
        </is>
      </c>
      <c r="B283" s="15" t="inlineStr">
        <is>
          <t>weak_demand/narrow_supply/none_reverse/low_noise</t>
        </is>
      </c>
      <c r="C283" s="12" t="n">
        <v>20</v>
      </c>
      <c r="D283" s="19" t="n">
        <v>-0.03562035449</v>
      </c>
      <c r="E283" s="24" t="n">
        <v>0.0374091193</v>
      </c>
      <c r="F283" s="16" t="n"/>
      <c r="G283" s="16" t="n">
        <v>0.8928035068</v>
      </c>
    </row>
    <row r="284">
      <c r="A284" s="15" t="inlineStr">
        <is>
          <t>ranking_adjusted</t>
        </is>
      </c>
      <c r="B284" s="15" t="inlineStr">
        <is>
          <t>weak_demand/narrow_supply/strong_reverse/high_noise</t>
        </is>
      </c>
      <c r="C284" s="12" t="n">
        <v>20</v>
      </c>
      <c r="D284" s="19" t="n">
        <v>-0.02136458929</v>
      </c>
      <c r="E284" s="24" t="n">
        <v>0.02249220033</v>
      </c>
      <c r="F284" s="16" t="n"/>
      <c r="G284" s="16" t="n">
        <v>0.9236439870000001</v>
      </c>
    </row>
    <row r="285">
      <c r="A285" s="15" t="inlineStr">
        <is>
          <t>ranking_adjusted</t>
        </is>
      </c>
      <c r="B285" s="15" t="inlineStr">
        <is>
          <t>weak_demand/narrow_supply/strong_reverse/low_noise</t>
        </is>
      </c>
      <c r="C285" s="12" t="n">
        <v>20</v>
      </c>
      <c r="D285" s="19" t="n">
        <v>-0.02250428816</v>
      </c>
      <c r="E285" s="24" t="n">
        <v>0.02357630543</v>
      </c>
      <c r="F285" s="16" t="n"/>
      <c r="G285" s="16" t="n">
        <v>0.9249399657</v>
      </c>
    </row>
    <row r="286">
      <c r="A286" s="15" t="inlineStr">
        <is>
          <t>ranking_adjusted</t>
        </is>
      </c>
      <c r="B286" s="15" t="inlineStr">
        <is>
          <t>weak_demand/wide_supply/mild_reverse/high_noise</t>
        </is>
      </c>
      <c r="C286" s="12" t="n">
        <v>20</v>
      </c>
      <c r="D286" s="19" t="n">
        <v>-0.02683056985</v>
      </c>
      <c r="E286" s="24" t="n">
        <v>0.02833910022</v>
      </c>
      <c r="F286" s="16" t="n"/>
      <c r="G286" s="16" t="n">
        <v>0.9062206975</v>
      </c>
    </row>
    <row r="287">
      <c r="A287" s="15" t="inlineStr">
        <is>
          <t>ranking_adjusted</t>
        </is>
      </c>
      <c r="B287" s="15" t="inlineStr">
        <is>
          <t>weak_demand/wide_supply/mild_reverse/low_noise</t>
        </is>
      </c>
      <c r="C287" s="12" t="n">
        <v>20</v>
      </c>
      <c r="D287" s="19" t="n">
        <v>-0.02935772823</v>
      </c>
      <c r="E287" s="24" t="n">
        <v>0.03081713271</v>
      </c>
      <c r="F287" s="16" t="n"/>
      <c r="G287" s="16" t="n">
        <v>0.9096207357</v>
      </c>
    </row>
    <row r="288">
      <c r="A288" s="15" t="inlineStr">
        <is>
          <t>ranking_adjusted</t>
        </is>
      </c>
      <c r="B288" s="15" t="inlineStr">
        <is>
          <t>weak_demand/wide_supply/none_reverse/high_noise</t>
        </is>
      </c>
      <c r="C288" s="12" t="n">
        <v>20</v>
      </c>
      <c r="D288" s="19" t="n">
        <v>-0.03137030684</v>
      </c>
      <c r="E288" s="24" t="n">
        <v>0.03333181102</v>
      </c>
      <c r="F288" s="16" t="n"/>
      <c r="G288" s="16" t="n">
        <v>0.8919382504</v>
      </c>
    </row>
    <row r="289">
      <c r="A289" s="15" t="inlineStr">
        <is>
          <t>ranking_adjusted</t>
        </is>
      </c>
      <c r="B289" s="15" t="inlineStr">
        <is>
          <t>weak_demand/wide_supply/none_reverse/low_noise</t>
        </is>
      </c>
      <c r="C289" s="12" t="n">
        <v>20</v>
      </c>
      <c r="D289" s="19" t="n">
        <v>-0.03475890985</v>
      </c>
      <c r="E289" s="24" t="n">
        <v>0.03612509405</v>
      </c>
      <c r="F289" s="16" t="n"/>
      <c r="G289" s="16" t="n">
        <v>0.8947589099</v>
      </c>
    </row>
    <row r="290">
      <c r="A290" s="15" t="inlineStr">
        <is>
          <t>ranking_adjusted</t>
        </is>
      </c>
      <c r="B290" s="15" t="inlineStr">
        <is>
          <t>weak_demand/wide_supply/strong_reverse/high_noise</t>
        </is>
      </c>
      <c r="C290" s="12" t="n">
        <v>20</v>
      </c>
      <c r="D290" s="19" t="n">
        <v>-0.02035829998</v>
      </c>
      <c r="E290" s="24" t="n">
        <v>0.02169928623</v>
      </c>
      <c r="F290" s="16" t="n"/>
      <c r="G290" s="16" t="n">
        <v>0.9244978082999999</v>
      </c>
    </row>
    <row r="291">
      <c r="A291" s="15" t="inlineStr">
        <is>
          <t>ranking_adjusted</t>
        </is>
      </c>
      <c r="B291" s="15" t="inlineStr">
        <is>
          <t>weak_demand/wide_supply/strong_reverse/low_noise</t>
        </is>
      </c>
      <c r="C291" s="12" t="n">
        <v>20</v>
      </c>
      <c r="D291" s="19" t="n">
        <v>-0.02255002859</v>
      </c>
      <c r="E291" s="24" t="n">
        <v>0.02394409089</v>
      </c>
      <c r="F291" s="16" t="n"/>
      <c r="G291" s="16" t="n">
        <v>0.9259538784</v>
      </c>
    </row>
    <row r="292">
      <c r="A292" s="15" t="inlineStr">
        <is>
          <t>self_report_correction</t>
        </is>
      </c>
      <c r="B292" s="15" t="inlineStr">
        <is>
          <t>strong_demand/narrow_supply/mild_reverse/high_noise</t>
        </is>
      </c>
      <c r="C292" s="12" t="n">
        <v>20</v>
      </c>
      <c r="D292" s="19" t="n">
        <v>-0.0009548257711</v>
      </c>
      <c r="E292" s="24" t="n">
        <v>0.003080342195</v>
      </c>
      <c r="F292" s="16" t="n"/>
      <c r="G292" s="16" t="n">
        <v>0.01685621919</v>
      </c>
    </row>
    <row r="293">
      <c r="A293" s="15" t="inlineStr">
        <is>
          <t>self_report_correction</t>
        </is>
      </c>
      <c r="B293" s="15" t="inlineStr">
        <is>
          <t>strong_demand/narrow_supply/mild_reverse/low_noise</t>
        </is>
      </c>
      <c r="C293" s="12" t="n">
        <v>20</v>
      </c>
      <c r="D293" s="19" t="n">
        <v>-0.0009548257711</v>
      </c>
      <c r="E293" s="24" t="n">
        <v>0.003080342195</v>
      </c>
      <c r="F293" s="16" t="n"/>
      <c r="G293" s="16" t="n">
        <v>0.01685621919</v>
      </c>
    </row>
    <row r="294">
      <c r="A294" s="15" t="inlineStr">
        <is>
          <t>self_report_correction</t>
        </is>
      </c>
      <c r="B294" s="15" t="inlineStr">
        <is>
          <t>strong_demand/narrow_supply/none_reverse/high_noise</t>
        </is>
      </c>
      <c r="C294" s="12" t="n">
        <v>20</v>
      </c>
      <c r="D294" s="19" t="n">
        <v>-0.0009548257711</v>
      </c>
      <c r="E294" s="24" t="n">
        <v>0.003080342195</v>
      </c>
      <c r="F294" s="16" t="n"/>
      <c r="G294" s="16" t="n">
        <v>0.01685621919</v>
      </c>
    </row>
    <row r="295">
      <c r="A295" s="15" t="inlineStr">
        <is>
          <t>self_report_correction</t>
        </is>
      </c>
      <c r="B295" s="15" t="inlineStr">
        <is>
          <t>strong_demand/narrow_supply/none_reverse/low_noise</t>
        </is>
      </c>
      <c r="C295" s="12" t="n">
        <v>20</v>
      </c>
      <c r="D295" s="19" t="n">
        <v>-0.0009548257711</v>
      </c>
      <c r="E295" s="24" t="n">
        <v>0.003080342195</v>
      </c>
      <c r="F295" s="16" t="n"/>
      <c r="G295" s="16" t="n">
        <v>0.01685621919</v>
      </c>
    </row>
    <row r="296">
      <c r="A296" s="15" t="inlineStr">
        <is>
          <t>self_report_correction</t>
        </is>
      </c>
      <c r="B296" s="15" t="inlineStr">
        <is>
          <t>strong_demand/narrow_supply/strong_reverse/high_noise</t>
        </is>
      </c>
      <c r="C296" s="12" t="n">
        <v>20</v>
      </c>
      <c r="D296" s="19" t="n">
        <v>-0.0009548257711</v>
      </c>
      <c r="E296" s="24" t="n">
        <v>0.003080342195</v>
      </c>
      <c r="F296" s="16" t="n"/>
      <c r="G296" s="16" t="n">
        <v>0.01685621919</v>
      </c>
    </row>
    <row r="297">
      <c r="A297" s="15" t="inlineStr">
        <is>
          <t>self_report_correction</t>
        </is>
      </c>
      <c r="B297" s="15" t="inlineStr">
        <is>
          <t>strong_demand/narrow_supply/strong_reverse/low_noise</t>
        </is>
      </c>
      <c r="C297" s="12" t="n">
        <v>20</v>
      </c>
      <c r="D297" s="19" t="n">
        <v>-0.0009548257711</v>
      </c>
      <c r="E297" s="24" t="n">
        <v>0.003080342195</v>
      </c>
      <c r="F297" s="16" t="n"/>
      <c r="G297" s="16" t="n">
        <v>0.01685621919</v>
      </c>
    </row>
    <row r="298">
      <c r="A298" s="15" t="inlineStr">
        <is>
          <t>self_report_correction</t>
        </is>
      </c>
      <c r="B298" s="15" t="inlineStr">
        <is>
          <t>strong_demand/wide_supply/mild_reverse/high_noise</t>
        </is>
      </c>
      <c r="C298" s="12" t="n">
        <v>20</v>
      </c>
      <c r="D298" s="19" t="n">
        <v>-0.0009548257711</v>
      </c>
      <c r="E298" s="24" t="n">
        <v>0.003080342195</v>
      </c>
      <c r="F298" s="16" t="n"/>
      <c r="G298" s="16" t="n">
        <v>0.01685621919</v>
      </c>
    </row>
    <row r="299">
      <c r="A299" s="15" t="inlineStr">
        <is>
          <t>self_report_correction</t>
        </is>
      </c>
      <c r="B299" s="15" t="inlineStr">
        <is>
          <t>strong_demand/wide_supply/mild_reverse/low_noise</t>
        </is>
      </c>
      <c r="C299" s="12" t="n">
        <v>20</v>
      </c>
      <c r="D299" s="19" t="n">
        <v>-0.0009548257711</v>
      </c>
      <c r="E299" s="24" t="n">
        <v>0.003080342195</v>
      </c>
      <c r="F299" s="16" t="n"/>
      <c r="G299" s="16" t="n">
        <v>0.01685621919</v>
      </c>
    </row>
    <row r="300">
      <c r="A300" s="15" t="inlineStr">
        <is>
          <t>self_report_correction</t>
        </is>
      </c>
      <c r="B300" s="15" t="inlineStr">
        <is>
          <t>strong_demand/wide_supply/none_reverse/high_noise</t>
        </is>
      </c>
      <c r="C300" s="12" t="n">
        <v>20</v>
      </c>
      <c r="D300" s="19" t="n">
        <v>-0.0009548257711</v>
      </c>
      <c r="E300" s="24" t="n">
        <v>0.003080342195</v>
      </c>
      <c r="F300" s="16" t="n"/>
      <c r="G300" s="16" t="n">
        <v>0.01685621919</v>
      </c>
    </row>
    <row r="301">
      <c r="A301" s="15" t="inlineStr">
        <is>
          <t>self_report_correction</t>
        </is>
      </c>
      <c r="B301" s="15" t="inlineStr">
        <is>
          <t>strong_demand/wide_supply/none_reverse/low_noise</t>
        </is>
      </c>
      <c r="C301" s="12" t="n">
        <v>20</v>
      </c>
      <c r="D301" s="19" t="n">
        <v>-0.0009548257711</v>
      </c>
      <c r="E301" s="24" t="n">
        <v>0.003080342195</v>
      </c>
      <c r="F301" s="16" t="n"/>
      <c r="G301" s="16" t="n">
        <v>0.01685621919</v>
      </c>
    </row>
    <row r="302">
      <c r="A302" s="15" t="inlineStr">
        <is>
          <t>self_report_correction</t>
        </is>
      </c>
      <c r="B302" s="15" t="inlineStr">
        <is>
          <t>strong_demand/wide_supply/strong_reverse/high_noise</t>
        </is>
      </c>
      <c r="C302" s="12" t="n">
        <v>20</v>
      </c>
      <c r="D302" s="19" t="n">
        <v>-0.0009548257711</v>
      </c>
      <c r="E302" s="24" t="n">
        <v>0.003080342195</v>
      </c>
      <c r="F302" s="16" t="n"/>
      <c r="G302" s="16" t="n">
        <v>0.01685621919</v>
      </c>
    </row>
    <row r="303">
      <c r="A303" s="15" t="inlineStr">
        <is>
          <t>self_report_correction</t>
        </is>
      </c>
      <c r="B303" s="15" t="inlineStr">
        <is>
          <t>strong_demand/wide_supply/strong_reverse/low_noise</t>
        </is>
      </c>
      <c r="C303" s="12" t="n">
        <v>20</v>
      </c>
      <c r="D303" s="19" t="n">
        <v>-0.0009548257711</v>
      </c>
      <c r="E303" s="24" t="n">
        <v>0.003080342195</v>
      </c>
      <c r="F303" s="16" t="n"/>
      <c r="G303" s="16" t="n">
        <v>0.01685621919</v>
      </c>
    </row>
    <row r="304">
      <c r="A304" s="15" t="inlineStr">
        <is>
          <t>self_report_correction</t>
        </is>
      </c>
      <c r="B304" s="15" t="inlineStr">
        <is>
          <t>weak_demand/narrow_supply/mild_reverse/high_noise</t>
        </is>
      </c>
      <c r="C304" s="12" t="n">
        <v>20</v>
      </c>
      <c r="D304" s="19" t="n">
        <v>-0.002066075464</v>
      </c>
      <c r="E304" s="24" t="n">
        <v>0.003632955713</v>
      </c>
      <c r="F304" s="16" t="n"/>
      <c r="G304" s="16" t="n">
        <v>0.01778611371</v>
      </c>
    </row>
    <row r="305">
      <c r="A305" s="15" t="inlineStr">
        <is>
          <t>self_report_correction</t>
        </is>
      </c>
      <c r="B305" s="15" t="inlineStr">
        <is>
          <t>weak_demand/narrow_supply/mild_reverse/low_noise</t>
        </is>
      </c>
      <c r="C305" s="12" t="n">
        <v>20</v>
      </c>
      <c r="D305" s="19" t="n">
        <v>-0.002066075464</v>
      </c>
      <c r="E305" s="24" t="n">
        <v>0.003632955713</v>
      </c>
      <c r="F305" s="16" t="n"/>
      <c r="G305" s="16" t="n">
        <v>0.01778611371</v>
      </c>
    </row>
    <row r="306">
      <c r="A306" s="15" t="inlineStr">
        <is>
          <t>self_report_correction</t>
        </is>
      </c>
      <c r="B306" s="15" t="inlineStr">
        <is>
          <t>weak_demand/narrow_supply/none_reverse/high_noise</t>
        </is>
      </c>
      <c r="C306" s="12" t="n">
        <v>20</v>
      </c>
      <c r="D306" s="19" t="n">
        <v>-0.002066075464</v>
      </c>
      <c r="E306" s="24" t="n">
        <v>0.003632955713</v>
      </c>
      <c r="F306" s="16" t="n"/>
      <c r="G306" s="16" t="n">
        <v>0.01778611371</v>
      </c>
    </row>
    <row r="307">
      <c r="A307" s="15" t="inlineStr">
        <is>
          <t>self_report_correction</t>
        </is>
      </c>
      <c r="B307" s="15" t="inlineStr">
        <is>
          <t>weak_demand/narrow_supply/none_reverse/low_noise</t>
        </is>
      </c>
      <c r="C307" s="12" t="n">
        <v>20</v>
      </c>
      <c r="D307" s="19" t="n">
        <v>-0.002066075464</v>
      </c>
      <c r="E307" s="24" t="n">
        <v>0.003632955713</v>
      </c>
      <c r="F307" s="16" t="n"/>
      <c r="G307" s="16" t="n">
        <v>0.01778611371</v>
      </c>
    </row>
    <row r="308">
      <c r="A308" s="15" t="inlineStr">
        <is>
          <t>self_report_correction</t>
        </is>
      </c>
      <c r="B308" s="15" t="inlineStr">
        <is>
          <t>weak_demand/narrow_supply/strong_reverse/high_noise</t>
        </is>
      </c>
      <c r="C308" s="12" t="n">
        <v>20</v>
      </c>
      <c r="D308" s="19" t="n">
        <v>-0.002066075464</v>
      </c>
      <c r="E308" s="24" t="n">
        <v>0.003632955713</v>
      </c>
      <c r="F308" s="16" t="n"/>
      <c r="G308" s="16" t="n">
        <v>0.01778611371</v>
      </c>
    </row>
    <row r="309">
      <c r="A309" s="15" t="inlineStr">
        <is>
          <t>self_report_correction</t>
        </is>
      </c>
      <c r="B309" s="15" t="inlineStr">
        <is>
          <t>weak_demand/narrow_supply/strong_reverse/low_noise</t>
        </is>
      </c>
      <c r="C309" s="12" t="n">
        <v>20</v>
      </c>
      <c r="D309" s="19" t="n">
        <v>-0.002066075464</v>
      </c>
      <c r="E309" s="24" t="n">
        <v>0.003632955713</v>
      </c>
      <c r="F309" s="16" t="n"/>
      <c r="G309" s="16" t="n">
        <v>0.01778611371</v>
      </c>
    </row>
    <row r="310">
      <c r="A310" s="15" t="inlineStr">
        <is>
          <t>self_report_correction</t>
        </is>
      </c>
      <c r="B310" s="15" t="inlineStr">
        <is>
          <t>weak_demand/wide_supply/mild_reverse/high_noise</t>
        </is>
      </c>
      <c r="C310" s="12" t="n">
        <v>20</v>
      </c>
      <c r="D310" s="19" t="n">
        <v>-0.002066075464</v>
      </c>
      <c r="E310" s="24" t="n">
        <v>0.003632955713</v>
      </c>
      <c r="F310" s="16" t="n"/>
      <c r="G310" s="16" t="n">
        <v>0.01778611371</v>
      </c>
    </row>
    <row r="311">
      <c r="A311" s="15" t="inlineStr">
        <is>
          <t>self_report_correction</t>
        </is>
      </c>
      <c r="B311" s="15" t="inlineStr">
        <is>
          <t>weak_demand/wide_supply/mild_reverse/low_noise</t>
        </is>
      </c>
      <c r="C311" s="12" t="n">
        <v>20</v>
      </c>
      <c r="D311" s="19" t="n">
        <v>-0.002066075464</v>
      </c>
      <c r="E311" s="24" t="n">
        <v>0.003632955713</v>
      </c>
      <c r="F311" s="16" t="n"/>
      <c r="G311" s="16" t="n">
        <v>0.01778611371</v>
      </c>
    </row>
    <row r="312">
      <c r="A312" s="15" t="inlineStr">
        <is>
          <t>self_report_correction</t>
        </is>
      </c>
      <c r="B312" s="15" t="inlineStr">
        <is>
          <t>weak_demand/wide_supply/none_reverse/high_noise</t>
        </is>
      </c>
      <c r="C312" s="12" t="n">
        <v>20</v>
      </c>
      <c r="D312" s="19" t="n">
        <v>-0.002066075464</v>
      </c>
      <c r="E312" s="24" t="n">
        <v>0.003632955713</v>
      </c>
      <c r="F312" s="16" t="n"/>
      <c r="G312" s="16" t="n">
        <v>0.01778611371</v>
      </c>
    </row>
    <row r="313">
      <c r="A313" s="15" t="inlineStr">
        <is>
          <t>self_report_correction</t>
        </is>
      </c>
      <c r="B313" s="15" t="inlineStr">
        <is>
          <t>weak_demand/wide_supply/none_reverse/low_noise</t>
        </is>
      </c>
      <c r="C313" s="12" t="n">
        <v>20</v>
      </c>
      <c r="D313" s="19" t="n">
        <v>-0.002066075464</v>
      </c>
      <c r="E313" s="24" t="n">
        <v>0.003632955713</v>
      </c>
      <c r="F313" s="16" t="n"/>
      <c r="G313" s="16" t="n">
        <v>0.01778611371</v>
      </c>
    </row>
    <row r="314">
      <c r="A314" s="15" t="inlineStr">
        <is>
          <t>self_report_correction</t>
        </is>
      </c>
      <c r="B314" s="15" t="inlineStr">
        <is>
          <t>weak_demand/wide_supply/strong_reverse/high_noise</t>
        </is>
      </c>
      <c r="C314" s="12" t="n">
        <v>20</v>
      </c>
      <c r="D314" s="19" t="n">
        <v>-0.002066075464</v>
      </c>
      <c r="E314" s="24" t="n">
        <v>0.003632955713</v>
      </c>
      <c r="F314" s="16" t="n"/>
      <c r="G314" s="16" t="n">
        <v>0.01778611371</v>
      </c>
    </row>
    <row r="315">
      <c r="A315" s="15" t="inlineStr">
        <is>
          <t>self_report_correction</t>
        </is>
      </c>
      <c r="B315" s="15" t="inlineStr">
        <is>
          <t>weak_demand/wide_supply/strong_reverse/low_noise</t>
        </is>
      </c>
      <c r="C315" s="12" t="n">
        <v>20</v>
      </c>
      <c r="D315" s="19" t="n">
        <v>-0.002066075464</v>
      </c>
      <c r="E315" s="24" t="n">
        <v>0.003632955713</v>
      </c>
      <c r="F315" s="16" t="n"/>
      <c r="G315" s="16" t="n">
        <v>0.01778611371</v>
      </c>
    </row>
    <row r="316">
      <c r="A316" s="15" t="inlineStr">
        <is>
          <t>severe_share</t>
        </is>
      </c>
      <c r="B316" s="15" t="inlineStr">
        <is>
          <t>strong_demand/narrow_supply/mild_reverse/high_noise</t>
        </is>
      </c>
      <c r="C316" s="12" t="n">
        <v>20</v>
      </c>
      <c r="D316" s="19" t="n">
        <v>-5.551115123e-18</v>
      </c>
      <c r="E316" s="24" t="n">
        <v>1.164411732e-16</v>
      </c>
      <c r="F316" s="16" t="n">
        <v>1</v>
      </c>
      <c r="G316" s="16" t="n"/>
    </row>
    <row r="317">
      <c r="A317" s="15" t="inlineStr">
        <is>
          <t>severe_share</t>
        </is>
      </c>
      <c r="B317" s="15" t="inlineStr">
        <is>
          <t>strong_demand/narrow_supply/mild_reverse/low_noise</t>
        </is>
      </c>
      <c r="C317" s="12" t="n">
        <v>20</v>
      </c>
      <c r="D317" s="19" t="n">
        <v>-1.110223025e-17</v>
      </c>
      <c r="E317" s="24" t="n">
        <v>1.164411732e-16</v>
      </c>
      <c r="F317" s="16" t="n">
        <v>1</v>
      </c>
      <c r="G317" s="16" t="n"/>
    </row>
    <row r="318">
      <c r="A318" s="15" t="inlineStr">
        <is>
          <t>severe_share</t>
        </is>
      </c>
      <c r="B318" s="15" t="inlineStr">
        <is>
          <t>strong_demand/narrow_supply/none_reverse/high_noise</t>
        </is>
      </c>
      <c r="C318" s="12" t="n">
        <v>20</v>
      </c>
      <c r="D318" s="19" t="n">
        <v>0</v>
      </c>
      <c r="E318" s="24" t="n">
        <v>1.499828715e-16</v>
      </c>
      <c r="F318" s="16" t="n">
        <v>1</v>
      </c>
      <c r="G318" s="16" t="n"/>
    </row>
    <row r="319">
      <c r="A319" s="15" t="inlineStr">
        <is>
          <t>severe_share</t>
        </is>
      </c>
      <c r="B319" s="15" t="inlineStr">
        <is>
          <t>strong_demand/narrow_supply/none_reverse/low_noise</t>
        </is>
      </c>
      <c r="C319" s="12" t="n">
        <v>20</v>
      </c>
      <c r="D319" s="19" t="n">
        <v>-6.661338148e-17</v>
      </c>
      <c r="E319" s="24" t="n">
        <v>1.277962673e-16</v>
      </c>
      <c r="F319" s="16" t="n">
        <v>1</v>
      </c>
      <c r="G319" s="16" t="n"/>
    </row>
    <row r="320">
      <c r="A320" s="15" t="inlineStr">
        <is>
          <t>severe_share</t>
        </is>
      </c>
      <c r="B320" s="15" t="inlineStr">
        <is>
          <t>strong_demand/narrow_supply/strong_reverse/high_noise</t>
        </is>
      </c>
      <c r="C320" s="12" t="n">
        <v>20</v>
      </c>
      <c r="D320" s="19" t="n">
        <v>-3.053113318e-17</v>
      </c>
      <c r="E320" s="24" t="n">
        <v>1.031073872e-16</v>
      </c>
      <c r="F320" s="16" t="n">
        <v>1</v>
      </c>
      <c r="G320" s="16" t="n"/>
    </row>
    <row r="321">
      <c r="A321" s="15" t="inlineStr">
        <is>
          <t>severe_share</t>
        </is>
      </c>
      <c r="B321" s="15" t="inlineStr">
        <is>
          <t>strong_demand/narrow_supply/strong_reverse/low_noise</t>
        </is>
      </c>
      <c r="C321" s="12" t="n">
        <v>20</v>
      </c>
      <c r="D321" s="19" t="n">
        <v>2.498001805e-17</v>
      </c>
      <c r="E321" s="24" t="n">
        <v>1.283976648e-16</v>
      </c>
      <c r="F321" s="16" t="n">
        <v>1</v>
      </c>
      <c r="G321" s="16" t="n"/>
    </row>
    <row r="322">
      <c r="A322" s="15" t="inlineStr">
        <is>
          <t>severe_share</t>
        </is>
      </c>
      <c r="B322" s="15" t="inlineStr">
        <is>
          <t>strong_demand/wide_supply/mild_reverse/high_noise</t>
        </is>
      </c>
      <c r="C322" s="12" t="n">
        <v>20</v>
      </c>
      <c r="D322" s="19" t="n">
        <v>-5.551115123e-18</v>
      </c>
      <c r="E322" s="24" t="n">
        <v>7.850462293000001e-17</v>
      </c>
      <c r="F322" s="16" t="n">
        <v>1</v>
      </c>
      <c r="G322" s="16" t="n"/>
    </row>
    <row r="323">
      <c r="A323" s="15" t="inlineStr">
        <is>
          <t>severe_share</t>
        </is>
      </c>
      <c r="B323" s="15" t="inlineStr">
        <is>
          <t>strong_demand/wide_supply/mild_reverse/low_noise</t>
        </is>
      </c>
      <c r="C323" s="12" t="n">
        <v>20</v>
      </c>
      <c r="D323" s="19" t="n">
        <v>1.942890293e-17</v>
      </c>
      <c r="E323" s="24" t="n">
        <v>1.171009018e-16</v>
      </c>
      <c r="F323" s="16" t="n">
        <v>1</v>
      </c>
      <c r="G323" s="16" t="n"/>
    </row>
    <row r="324">
      <c r="A324" s="15" t="inlineStr">
        <is>
          <t>severe_share</t>
        </is>
      </c>
      <c r="B324" s="15" t="inlineStr">
        <is>
          <t>strong_demand/wide_supply/none_reverse/high_noise</t>
        </is>
      </c>
      <c r="C324" s="12" t="n">
        <v>20</v>
      </c>
      <c r="D324" s="19" t="n">
        <v>-3.885780586e-17</v>
      </c>
      <c r="E324" s="24" t="n">
        <v>1.08211155e-16</v>
      </c>
      <c r="F324" s="16" t="n">
        <v>1</v>
      </c>
      <c r="G324" s="16" t="n"/>
    </row>
    <row r="325">
      <c r="A325" s="15" t="inlineStr">
        <is>
          <t>severe_share</t>
        </is>
      </c>
      <c r="B325" s="15" t="inlineStr">
        <is>
          <t>strong_demand/wide_supply/none_reverse/low_noise</t>
        </is>
      </c>
      <c r="C325" s="12" t="n">
        <v>20</v>
      </c>
      <c r="D325" s="19" t="n">
        <v>-3.330669074e-17</v>
      </c>
      <c r="E325" s="24" t="n">
        <v>1.253618297e-16</v>
      </c>
      <c r="F325" s="16" t="n">
        <v>1</v>
      </c>
      <c r="G325" s="16" t="n"/>
    </row>
    <row r="326">
      <c r="A326" s="15" t="inlineStr">
        <is>
          <t>severe_share</t>
        </is>
      </c>
      <c r="B326" s="15" t="inlineStr">
        <is>
          <t>strong_demand/wide_supply/strong_reverse/high_noise</t>
        </is>
      </c>
      <c r="C326" s="12" t="n">
        <v>20</v>
      </c>
      <c r="D326" s="19" t="n">
        <v>-2.775557562e-18</v>
      </c>
      <c r="E326" s="24" t="n">
        <v>1.184093324e-16</v>
      </c>
      <c r="F326" s="16" t="n">
        <v>1</v>
      </c>
      <c r="G326" s="16" t="n"/>
    </row>
    <row r="327">
      <c r="A327" s="15" t="inlineStr">
        <is>
          <t>severe_share</t>
        </is>
      </c>
      <c r="B327" s="15" t="inlineStr">
        <is>
          <t>strong_demand/wide_supply/strong_reverse/low_noise</t>
        </is>
      </c>
      <c r="C327" s="12" t="n">
        <v>20</v>
      </c>
      <c r="D327" s="19" t="n">
        <v>-1.665334537e-17</v>
      </c>
      <c r="E327" s="24" t="n">
        <v>1.137640067e-16</v>
      </c>
      <c r="F327" s="16" t="n">
        <v>1</v>
      </c>
      <c r="G327" s="16" t="n"/>
    </row>
    <row r="328">
      <c r="A328" s="15" t="inlineStr">
        <is>
          <t>severe_share</t>
        </is>
      </c>
      <c r="B328" s="15" t="inlineStr">
        <is>
          <t>weak_demand/narrow_supply/mild_reverse/high_noise</t>
        </is>
      </c>
      <c r="C328" s="12" t="n">
        <v>20</v>
      </c>
      <c r="D328" s="19" t="n">
        <v>3.60822483e-17</v>
      </c>
      <c r="E328" s="24" t="n">
        <v>1.04591023e-16</v>
      </c>
      <c r="F328" s="16" t="n">
        <v>1</v>
      </c>
      <c r="G328" s="16" t="n"/>
    </row>
    <row r="329">
      <c r="A329" s="15" t="inlineStr">
        <is>
          <t>severe_share</t>
        </is>
      </c>
      <c r="B329" s="15" t="inlineStr">
        <is>
          <t>weak_demand/narrow_supply/mild_reverse/low_noise</t>
        </is>
      </c>
      <c r="C329" s="12" t="n">
        <v>20</v>
      </c>
      <c r="D329" s="19" t="n">
        <v>8.326672685e-18</v>
      </c>
      <c r="E329" s="24" t="n">
        <v>1.000741511e-16</v>
      </c>
      <c r="F329" s="16" t="n">
        <v>1</v>
      </c>
      <c r="G329" s="16" t="n"/>
    </row>
    <row r="330">
      <c r="A330" s="15" t="inlineStr">
        <is>
          <t>severe_share</t>
        </is>
      </c>
      <c r="B330" s="15" t="inlineStr">
        <is>
          <t>weak_demand/narrow_supply/none_reverse/high_noise</t>
        </is>
      </c>
      <c r="C330" s="12" t="n">
        <v>20</v>
      </c>
      <c r="D330" s="19" t="n">
        <v>3.330669074e-17</v>
      </c>
      <c r="E330" s="24" t="n">
        <v>1.241267077e-16</v>
      </c>
      <c r="F330" s="16" t="n">
        <v>1</v>
      </c>
      <c r="G330" s="16" t="n"/>
    </row>
    <row r="331">
      <c r="A331" s="15" t="inlineStr">
        <is>
          <t>severe_share</t>
        </is>
      </c>
      <c r="B331" s="15" t="inlineStr">
        <is>
          <t>weak_demand/narrow_supply/none_reverse/low_noise</t>
        </is>
      </c>
      <c r="C331" s="12" t="n">
        <v>20</v>
      </c>
      <c r="D331" s="19" t="n">
        <v>-2.775557562e-17</v>
      </c>
      <c r="E331" s="24" t="n">
        <v>1.08211155e-16</v>
      </c>
      <c r="F331" s="16" t="n">
        <v>1</v>
      </c>
      <c r="G331" s="16" t="n"/>
    </row>
    <row r="332">
      <c r="A332" s="15" t="inlineStr">
        <is>
          <t>severe_share</t>
        </is>
      </c>
      <c r="B332" s="15" t="inlineStr">
        <is>
          <t>weak_demand/narrow_supply/strong_reverse/high_noise</t>
        </is>
      </c>
      <c r="C332" s="12" t="n">
        <v>20</v>
      </c>
      <c r="D332" s="19" t="n">
        <v>-2.636779683e-17</v>
      </c>
      <c r="E332" s="24" t="n">
        <v>1.098012816e-16</v>
      </c>
      <c r="F332" s="16" t="n">
        <v>1</v>
      </c>
      <c r="G332" s="16" t="n"/>
    </row>
    <row r="333">
      <c r="A333" s="15" t="inlineStr">
        <is>
          <t>severe_share</t>
        </is>
      </c>
      <c r="B333" s="15" t="inlineStr">
        <is>
          <t>weak_demand/narrow_supply/strong_reverse/low_noise</t>
        </is>
      </c>
      <c r="C333" s="12" t="n">
        <v>20</v>
      </c>
      <c r="D333" s="19" t="n">
        <v>4.163336342e-18</v>
      </c>
      <c r="E333" s="24" t="n">
        <v>1.224080674e-16</v>
      </c>
      <c r="F333" s="16" t="n">
        <v>1</v>
      </c>
      <c r="G333" s="16" t="n"/>
    </row>
    <row r="334">
      <c r="A334" s="15" t="inlineStr">
        <is>
          <t>severe_share</t>
        </is>
      </c>
      <c r="B334" s="15" t="inlineStr">
        <is>
          <t>weak_demand/wide_supply/mild_reverse/high_noise</t>
        </is>
      </c>
      <c r="C334" s="12" t="n">
        <v>20</v>
      </c>
      <c r="D334" s="19" t="n">
        <v>5.551115123e-18</v>
      </c>
      <c r="E334" s="24" t="n">
        <v>1.096257399e-16</v>
      </c>
      <c r="F334" s="16" t="n">
        <v>1</v>
      </c>
      <c r="G334" s="16" t="n"/>
    </row>
    <row r="335">
      <c r="A335" s="15" t="inlineStr">
        <is>
          <t>severe_share</t>
        </is>
      </c>
      <c r="B335" s="15" t="inlineStr">
        <is>
          <t>weak_demand/wide_supply/mild_reverse/low_noise</t>
        </is>
      </c>
      <c r="C335" s="12" t="n">
        <v>20</v>
      </c>
      <c r="D335" s="19" t="n">
        <v>-1.110223025e-17</v>
      </c>
      <c r="E335" s="24" t="n">
        <v>1.164411732e-16</v>
      </c>
      <c r="F335" s="16" t="n">
        <v>1</v>
      </c>
      <c r="G335" s="16" t="n"/>
    </row>
    <row r="336">
      <c r="A336" s="15" t="inlineStr">
        <is>
          <t>severe_share</t>
        </is>
      </c>
      <c r="B336" s="15" t="inlineStr">
        <is>
          <t>weak_demand/wide_supply/none_reverse/high_noise</t>
        </is>
      </c>
      <c r="C336" s="12" t="n">
        <v>20</v>
      </c>
      <c r="D336" s="19" t="n">
        <v>1.387778781e-17</v>
      </c>
      <c r="E336" s="24" t="n">
        <v>1.197034619e-16</v>
      </c>
      <c r="F336" s="16" t="n">
        <v>1</v>
      </c>
      <c r="G336" s="16" t="n"/>
    </row>
    <row r="337">
      <c r="A337" s="15" t="inlineStr">
        <is>
          <t>severe_share</t>
        </is>
      </c>
      <c r="B337" s="15" t="inlineStr">
        <is>
          <t>weak_demand/wide_supply/none_reverse/low_noise</t>
        </is>
      </c>
      <c r="C337" s="12" t="n">
        <v>20</v>
      </c>
      <c r="D337" s="19" t="n">
        <v>1.942890293e-17</v>
      </c>
      <c r="E337" s="24" t="n">
        <v>1.431499026e-16</v>
      </c>
      <c r="F337" s="16" t="n">
        <v>1</v>
      </c>
      <c r="G337" s="16" t="n"/>
    </row>
    <row r="338">
      <c r="A338" s="15" t="inlineStr">
        <is>
          <t>severe_share</t>
        </is>
      </c>
      <c r="B338" s="15" t="inlineStr">
        <is>
          <t>weak_demand/wide_supply/strong_reverse/high_noise</t>
        </is>
      </c>
      <c r="C338" s="12" t="n">
        <v>20</v>
      </c>
      <c r="D338" s="19" t="n">
        <v>-1.110223025e-17</v>
      </c>
      <c r="E338" s="24" t="n">
        <v>1.08211155e-16</v>
      </c>
      <c r="F338" s="16" t="n">
        <v>1</v>
      </c>
      <c r="G338" s="16" t="n"/>
    </row>
    <row r="339">
      <c r="A339" s="15" t="inlineStr">
        <is>
          <t>severe_share</t>
        </is>
      </c>
      <c r="B339" s="15" t="inlineStr">
        <is>
          <t>weak_demand/wide_supply/strong_reverse/low_noise</t>
        </is>
      </c>
      <c r="C339" s="12" t="n">
        <v>20</v>
      </c>
      <c r="D339" s="19" t="n">
        <v>2.220446049e-17</v>
      </c>
      <c r="E339" s="24" t="n">
        <v>8.044330061e-17</v>
      </c>
      <c r="F339" s="16" t="n">
        <v>1</v>
      </c>
      <c r="G339" s="16" t="n"/>
    </row>
    <row r="340">
      <c r="A340" s="15" t="inlineStr">
        <is>
          <t>supply_controlled</t>
        </is>
      </c>
      <c r="B340" s="15" t="inlineStr">
        <is>
          <t>strong_demand/narrow_supply/mild_reverse/high_noise</t>
        </is>
      </c>
      <c r="C340" s="12" t="n">
        <v>20</v>
      </c>
      <c r="D340" s="19" t="n">
        <v>0.005054977086</v>
      </c>
      <c r="E340" s="24" t="n">
        <v>0.007271901355</v>
      </c>
      <c r="F340" s="16" t="n">
        <v>0.75</v>
      </c>
      <c r="G340" s="16" t="n"/>
    </row>
    <row r="341">
      <c r="A341" s="15" t="inlineStr">
        <is>
          <t>supply_controlled</t>
        </is>
      </c>
      <c r="B341" s="15" t="inlineStr">
        <is>
          <t>strong_demand/narrow_supply/mild_reverse/low_noise</t>
        </is>
      </c>
      <c r="C341" s="12" t="n">
        <v>20</v>
      </c>
      <c r="D341" s="19" t="n">
        <v>0.001154029094</v>
      </c>
      <c r="E341" s="24" t="n">
        <v>0.002304922859</v>
      </c>
      <c r="F341" s="16" t="n">
        <v>0.85</v>
      </c>
      <c r="G341" s="16" t="n"/>
    </row>
    <row r="342">
      <c r="A342" s="15" t="inlineStr">
        <is>
          <t>supply_controlled</t>
        </is>
      </c>
      <c r="B342" s="15" t="inlineStr">
        <is>
          <t>strong_demand/narrow_supply/none_reverse/high_noise</t>
        </is>
      </c>
      <c r="C342" s="12" t="n">
        <v>20</v>
      </c>
      <c r="D342" s="19" t="n">
        <v>0.004080429929</v>
      </c>
      <c r="E342" s="24" t="n">
        <v>0.006840261406</v>
      </c>
      <c r="F342" s="16" t="n">
        <v>0.8</v>
      </c>
      <c r="G342" s="16" t="n"/>
    </row>
    <row r="343">
      <c r="A343" s="15" t="inlineStr">
        <is>
          <t>supply_controlled</t>
        </is>
      </c>
      <c r="B343" s="15" t="inlineStr">
        <is>
          <t>strong_demand/narrow_supply/none_reverse/low_noise</t>
        </is>
      </c>
      <c r="C343" s="12" t="n">
        <v>20</v>
      </c>
      <c r="D343" s="19" t="n">
        <v>0.0009446333098</v>
      </c>
      <c r="E343" s="24" t="n">
        <v>0.002132645355</v>
      </c>
      <c r="F343" s="16" t="n">
        <v>0.9</v>
      </c>
      <c r="G343" s="16" t="n"/>
    </row>
    <row r="344">
      <c r="A344" s="15" t="inlineStr">
        <is>
          <t>supply_controlled</t>
        </is>
      </c>
      <c r="B344" s="15" t="inlineStr">
        <is>
          <t>strong_demand/narrow_supply/strong_reverse/high_noise</t>
        </is>
      </c>
      <c r="C344" s="12" t="n">
        <v>20</v>
      </c>
      <c r="D344" s="19" t="n">
        <v>0.006233560173</v>
      </c>
      <c r="E344" s="24" t="n">
        <v>0.007910180330000001</v>
      </c>
      <c r="F344" s="16" t="n">
        <v>0.75</v>
      </c>
      <c r="G344" s="16" t="n"/>
    </row>
    <row r="345">
      <c r="A345" s="15" t="inlineStr">
        <is>
          <t>supply_controlled</t>
        </is>
      </c>
      <c r="B345" s="15" t="inlineStr">
        <is>
          <t>strong_demand/narrow_supply/strong_reverse/low_noise</t>
        </is>
      </c>
      <c r="C345" s="12" t="n">
        <v>20</v>
      </c>
      <c r="D345" s="19" t="n">
        <v>0.0009868626006000001</v>
      </c>
      <c r="E345" s="24" t="n">
        <v>0.002481225232</v>
      </c>
      <c r="F345" s="16" t="n">
        <v>0.9</v>
      </c>
      <c r="G345" s="16" t="n"/>
    </row>
    <row r="346">
      <c r="A346" s="15" t="inlineStr">
        <is>
          <t>supply_controlled</t>
        </is>
      </c>
      <c r="B346" s="15" t="inlineStr">
        <is>
          <t>strong_demand/wide_supply/mild_reverse/high_noise</t>
        </is>
      </c>
      <c r="C346" s="12" t="n">
        <v>20</v>
      </c>
      <c r="D346" s="19" t="n">
        <v>0.005080099123</v>
      </c>
      <c r="E346" s="24" t="n">
        <v>0.007008432761</v>
      </c>
      <c r="F346" s="16" t="n">
        <v>0.75</v>
      </c>
      <c r="G346" s="16" t="n"/>
    </row>
    <row r="347">
      <c r="A347" s="15" t="inlineStr">
        <is>
          <t>supply_controlled</t>
        </is>
      </c>
      <c r="B347" s="15" t="inlineStr">
        <is>
          <t>strong_demand/wide_supply/mild_reverse/low_noise</t>
        </is>
      </c>
      <c r="C347" s="12" t="n">
        <v>20</v>
      </c>
      <c r="D347" s="19" t="n">
        <v>0.001230344574</v>
      </c>
      <c r="E347" s="24" t="n">
        <v>0.00222967309</v>
      </c>
      <c r="F347" s="16" t="n">
        <v>0.85</v>
      </c>
      <c r="G347" s="16" t="n"/>
    </row>
    <row r="348">
      <c r="A348" s="15" t="inlineStr">
        <is>
          <t>supply_controlled</t>
        </is>
      </c>
      <c r="B348" s="15" t="inlineStr">
        <is>
          <t>strong_demand/wide_supply/none_reverse/high_noise</t>
        </is>
      </c>
      <c r="C348" s="12" t="n">
        <v>20</v>
      </c>
      <c r="D348" s="19" t="n">
        <v>0.004170708477</v>
      </c>
      <c r="E348" s="24" t="n">
        <v>0.006618918237</v>
      </c>
      <c r="F348" s="16" t="n">
        <v>0.8</v>
      </c>
      <c r="G348" s="16" t="n"/>
    </row>
    <row r="349">
      <c r="A349" s="15" t="inlineStr">
        <is>
          <t>supply_controlled</t>
        </is>
      </c>
      <c r="B349" s="15" t="inlineStr">
        <is>
          <t>strong_demand/wide_supply/none_reverse/low_noise</t>
        </is>
      </c>
      <c r="C349" s="12" t="n">
        <v>20</v>
      </c>
      <c r="D349" s="19" t="n">
        <v>0.001019549289</v>
      </c>
      <c r="E349" s="24" t="n">
        <v>0.002085532049</v>
      </c>
      <c r="F349" s="16" t="n">
        <v>0.9</v>
      </c>
      <c r="G349" s="16" t="n"/>
    </row>
    <row r="350">
      <c r="A350" s="15" t="inlineStr">
        <is>
          <t>supply_controlled</t>
        </is>
      </c>
      <c r="B350" s="15" t="inlineStr">
        <is>
          <t>strong_demand/wide_supply/strong_reverse/high_noise</t>
        </is>
      </c>
      <c r="C350" s="12" t="n">
        <v>20</v>
      </c>
      <c r="D350" s="19" t="n">
        <v>0.006068970115</v>
      </c>
      <c r="E350" s="24" t="n">
        <v>0.00749735852</v>
      </c>
      <c r="F350" s="16" t="n">
        <v>0.7</v>
      </c>
      <c r="G350" s="16" t="n"/>
    </row>
    <row r="351">
      <c r="A351" s="15" t="inlineStr">
        <is>
          <t>supply_controlled</t>
        </is>
      </c>
      <c r="B351" s="15" t="inlineStr">
        <is>
          <t>strong_demand/wide_supply/strong_reverse/low_noise</t>
        </is>
      </c>
      <c r="C351" s="12" t="n">
        <v>20</v>
      </c>
      <c r="D351" s="19" t="n">
        <v>0.001141142093</v>
      </c>
      <c r="E351" s="24" t="n">
        <v>0.002347941208</v>
      </c>
      <c r="F351" s="16" t="n">
        <v>0.9</v>
      </c>
      <c r="G351" s="16" t="n"/>
    </row>
    <row r="352">
      <c r="A352" s="15" t="inlineStr">
        <is>
          <t>supply_controlled</t>
        </is>
      </c>
      <c r="B352" s="15" t="inlineStr">
        <is>
          <t>weak_demand/narrow_supply/mild_reverse/high_noise</t>
        </is>
      </c>
      <c r="C352" s="12" t="n">
        <v>20</v>
      </c>
      <c r="D352" s="19" t="n">
        <v>0.003590547552</v>
      </c>
      <c r="E352" s="24" t="n">
        <v>0.005778887699</v>
      </c>
      <c r="F352" s="16" t="n">
        <v>0.85</v>
      </c>
      <c r="G352" s="16" t="n"/>
    </row>
    <row r="353">
      <c r="A353" s="15" t="inlineStr">
        <is>
          <t>supply_controlled</t>
        </is>
      </c>
      <c r="B353" s="15" t="inlineStr">
        <is>
          <t>weak_demand/narrow_supply/mild_reverse/low_noise</t>
        </is>
      </c>
      <c r="C353" s="12" t="n">
        <v>20</v>
      </c>
      <c r="D353" s="19" t="n">
        <v>0.000707923244</v>
      </c>
      <c r="E353" s="24" t="n">
        <v>0.001557527607</v>
      </c>
      <c r="F353" s="16" t="n">
        <v>0.95</v>
      </c>
      <c r="G353" s="16" t="n"/>
    </row>
    <row r="354">
      <c r="A354" s="15" t="inlineStr">
        <is>
          <t>supply_controlled</t>
        </is>
      </c>
      <c r="B354" s="15" t="inlineStr">
        <is>
          <t>weak_demand/narrow_supply/none_reverse/high_noise</t>
        </is>
      </c>
      <c r="C354" s="12" t="n">
        <v>20</v>
      </c>
      <c r="D354" s="19" t="n">
        <v>0.001864977885</v>
      </c>
      <c r="E354" s="24" t="n">
        <v>0.00471875808</v>
      </c>
      <c r="F354" s="16" t="n">
        <v>0.9</v>
      </c>
      <c r="G354" s="16" t="n"/>
    </row>
    <row r="355">
      <c r="A355" s="15" t="inlineStr">
        <is>
          <t>supply_controlled</t>
        </is>
      </c>
      <c r="B355" s="15" t="inlineStr">
        <is>
          <t>weak_demand/narrow_supply/none_reverse/low_noise</t>
        </is>
      </c>
      <c r="C355" s="12" t="n">
        <v>20</v>
      </c>
      <c r="D355" s="19" t="n">
        <v>0.0003499285895</v>
      </c>
      <c r="E355" s="24" t="n">
        <v>0.001524962398</v>
      </c>
      <c r="F355" s="16" t="n">
        <v>0.9</v>
      </c>
      <c r="G355" s="16" t="n"/>
    </row>
    <row r="356">
      <c r="A356" s="15" t="inlineStr">
        <is>
          <t>supply_controlled</t>
        </is>
      </c>
      <c r="B356" s="15" t="inlineStr">
        <is>
          <t>weak_demand/narrow_supply/strong_reverse/high_noise</t>
        </is>
      </c>
      <c r="C356" s="12" t="n">
        <v>20</v>
      </c>
      <c r="D356" s="19" t="n">
        <v>0.005615881007</v>
      </c>
      <c r="E356" s="24" t="n">
        <v>0.00750821094</v>
      </c>
      <c r="F356" s="16" t="n">
        <v>0.75</v>
      </c>
      <c r="G356" s="16" t="n"/>
    </row>
    <row r="357">
      <c r="A357" s="15" t="inlineStr">
        <is>
          <t>supply_controlled</t>
        </is>
      </c>
      <c r="B357" s="15" t="inlineStr">
        <is>
          <t>weak_demand/narrow_supply/strong_reverse/low_noise</t>
        </is>
      </c>
      <c r="C357" s="12" t="n">
        <v>20</v>
      </c>
      <c r="D357" s="19" t="n">
        <v>0.001028467035</v>
      </c>
      <c r="E357" s="24" t="n">
        <v>0.001746333892</v>
      </c>
      <c r="F357" s="16" t="n">
        <v>0.95</v>
      </c>
      <c r="G357" s="16" t="n"/>
    </row>
    <row r="358">
      <c r="A358" s="15" t="inlineStr">
        <is>
          <t>supply_controlled</t>
        </is>
      </c>
      <c r="B358" s="15" t="inlineStr">
        <is>
          <t>weak_demand/wide_supply/mild_reverse/high_noise</t>
        </is>
      </c>
      <c r="C358" s="12" t="n">
        <v>20</v>
      </c>
      <c r="D358" s="19" t="n">
        <v>0.003671500791</v>
      </c>
      <c r="E358" s="24" t="n">
        <v>0.006046199984</v>
      </c>
      <c r="F358" s="16" t="n">
        <v>0.85</v>
      </c>
      <c r="G358" s="16" t="n"/>
    </row>
    <row r="359">
      <c r="A359" s="15" t="inlineStr">
        <is>
          <t>supply_controlled</t>
        </is>
      </c>
      <c r="B359" s="15" t="inlineStr">
        <is>
          <t>weak_demand/wide_supply/mild_reverse/low_noise</t>
        </is>
      </c>
      <c r="C359" s="12" t="n">
        <v>20</v>
      </c>
      <c r="D359" s="19" t="n">
        <v>0.0008152126592</v>
      </c>
      <c r="E359" s="24" t="n">
        <v>0.001615384374</v>
      </c>
      <c r="F359" s="16" t="n">
        <v>0.9</v>
      </c>
      <c r="G359" s="16" t="n"/>
    </row>
    <row r="360">
      <c r="A360" s="15" t="inlineStr">
        <is>
          <t>supply_controlled</t>
        </is>
      </c>
      <c r="B360" s="15" t="inlineStr">
        <is>
          <t>weak_demand/wide_supply/none_reverse/high_noise</t>
        </is>
      </c>
      <c r="C360" s="12" t="n">
        <v>20</v>
      </c>
      <c r="D360" s="19" t="n">
        <v>0.002079607638</v>
      </c>
      <c r="E360" s="24" t="n">
        <v>0.005032424502</v>
      </c>
      <c r="F360" s="16" t="n">
        <v>0.9</v>
      </c>
      <c r="G360" s="16" t="n"/>
    </row>
    <row r="361">
      <c r="A361" s="15" t="inlineStr">
        <is>
          <t>supply_controlled</t>
        </is>
      </c>
      <c r="B361" s="15" t="inlineStr">
        <is>
          <t>weak_demand/wide_supply/none_reverse/low_noise</t>
        </is>
      </c>
      <c r="C361" s="12" t="n">
        <v>20</v>
      </c>
      <c r="D361" s="19" t="n">
        <v>0.0004677429596</v>
      </c>
      <c r="E361" s="24" t="n">
        <v>0.001569937371</v>
      </c>
      <c r="F361" s="16" t="n">
        <v>0.9</v>
      </c>
      <c r="G361" s="16" t="n"/>
    </row>
    <row r="362">
      <c r="A362" s="15" t="inlineStr">
        <is>
          <t>supply_controlled</t>
        </is>
      </c>
      <c r="B362" s="15" t="inlineStr">
        <is>
          <t>weak_demand/wide_supply/strong_reverse/high_noise</t>
        </is>
      </c>
      <c r="C362" s="12" t="n">
        <v>20</v>
      </c>
      <c r="D362" s="19" t="n">
        <v>0.005138520843</v>
      </c>
      <c r="E362" s="24" t="n">
        <v>0.007239024791</v>
      </c>
      <c r="F362" s="16" t="n">
        <v>0.7</v>
      </c>
      <c r="G362" s="16" t="n"/>
    </row>
    <row r="363">
      <c r="A363" s="15" t="inlineStr">
        <is>
          <t>supply_controlled</t>
        </is>
      </c>
      <c r="B363" s="15" t="inlineStr">
        <is>
          <t>weak_demand/wide_supply/strong_reverse/low_noise</t>
        </is>
      </c>
      <c r="C363" s="12" t="n">
        <v>20</v>
      </c>
      <c r="D363" s="19" t="n">
        <v>0.001047903365</v>
      </c>
      <c r="E363" s="24" t="n">
        <v>0.001711774186</v>
      </c>
      <c r="F363" s="16" t="n">
        <v>0.95</v>
      </c>
      <c r="G363" s="16" t="n"/>
    </row>
    <row r="364">
      <c r="A364" s="15" t="inlineStr">
        <is>
          <t>supply_uncontrolled</t>
        </is>
      </c>
      <c r="B364" s="15" t="inlineStr">
        <is>
          <t>strong_demand/narrow_supply/mild_reverse/high_noise</t>
        </is>
      </c>
      <c r="C364" s="12" t="n">
        <v>20</v>
      </c>
      <c r="D364" s="19" t="n">
        <v>0.009496073636</v>
      </c>
      <c r="E364" s="24" t="n">
        <v>0.01143088396</v>
      </c>
      <c r="F364" s="16" t="n">
        <v>0.65</v>
      </c>
      <c r="G364" s="16" t="n"/>
    </row>
    <row r="365">
      <c r="A365" s="15" t="inlineStr">
        <is>
          <t>supply_uncontrolled</t>
        </is>
      </c>
      <c r="B365" s="15" t="inlineStr">
        <is>
          <t>strong_demand/narrow_supply/mild_reverse/low_noise</t>
        </is>
      </c>
      <c r="C365" s="12" t="n">
        <v>20</v>
      </c>
      <c r="D365" s="19" t="n">
        <v>0.004590062403</v>
      </c>
      <c r="E365" s="24" t="n">
        <v>0.005713834632</v>
      </c>
      <c r="F365" s="16" t="n">
        <v>0.7</v>
      </c>
      <c r="G365" s="16" t="n"/>
    </row>
    <row r="366">
      <c r="A366" s="15" t="inlineStr">
        <is>
          <t>supply_uncontrolled</t>
        </is>
      </c>
      <c r="B366" s="15" t="inlineStr">
        <is>
          <t>strong_demand/narrow_supply/none_reverse/high_noise</t>
        </is>
      </c>
      <c r="C366" s="12" t="n">
        <v>20</v>
      </c>
      <c r="D366" s="19" t="n">
        <v>0.007283674756</v>
      </c>
      <c r="E366" s="24" t="n">
        <v>0.009355292095</v>
      </c>
      <c r="F366" s="16" t="n">
        <v>0.7</v>
      </c>
      <c r="G366" s="16" t="n"/>
    </row>
    <row r="367">
      <c r="A367" s="15" t="inlineStr">
        <is>
          <t>supply_uncontrolled</t>
        </is>
      </c>
      <c r="B367" s="15" t="inlineStr">
        <is>
          <t>strong_demand/narrow_supply/none_reverse/low_noise</t>
        </is>
      </c>
      <c r="C367" s="12" t="n">
        <v>20</v>
      </c>
      <c r="D367" s="19" t="n">
        <v>0.004201843297</v>
      </c>
      <c r="E367" s="24" t="n">
        <v>0.005129960501</v>
      </c>
      <c r="F367" s="16" t="n">
        <v>0.65</v>
      </c>
      <c r="G367" s="16" t="n"/>
    </row>
    <row r="368">
      <c r="A368" s="15" t="inlineStr">
        <is>
          <t>supply_uncontrolled</t>
        </is>
      </c>
      <c r="B368" s="15" t="inlineStr">
        <is>
          <t>strong_demand/narrow_supply/strong_reverse/high_noise</t>
        </is>
      </c>
      <c r="C368" s="12" t="n">
        <v>20</v>
      </c>
      <c r="D368" s="19" t="n">
        <v>0.01458916313</v>
      </c>
      <c r="E368" s="24" t="n">
        <v>0.01600801223</v>
      </c>
      <c r="F368" s="16" t="n">
        <v>0.3</v>
      </c>
      <c r="G368" s="16" t="n"/>
    </row>
    <row r="369">
      <c r="A369" s="15" t="inlineStr">
        <is>
          <t>supply_uncontrolled</t>
        </is>
      </c>
      <c r="B369" s="15" t="inlineStr">
        <is>
          <t>strong_demand/narrow_supply/strong_reverse/low_noise</t>
        </is>
      </c>
      <c r="C369" s="12" t="n">
        <v>20</v>
      </c>
      <c r="D369" s="19" t="n">
        <v>0.006941353792</v>
      </c>
      <c r="E369" s="24" t="n">
        <v>0.008060287471</v>
      </c>
      <c r="F369" s="16" t="n">
        <v>0.55</v>
      </c>
      <c r="G369" s="16" t="n"/>
    </row>
    <row r="370">
      <c r="A370" s="15" t="inlineStr">
        <is>
          <t>supply_uncontrolled</t>
        </is>
      </c>
      <c r="B370" s="15" t="inlineStr">
        <is>
          <t>strong_demand/wide_supply/mild_reverse/high_noise</t>
        </is>
      </c>
      <c r="C370" s="12" t="n">
        <v>20</v>
      </c>
      <c r="D370" s="19" t="n">
        <v>0.009374855390000001</v>
      </c>
      <c r="E370" s="24" t="n">
        <v>0.01102646038</v>
      </c>
      <c r="F370" s="16" t="n">
        <v>0.65</v>
      </c>
      <c r="G370" s="16" t="n"/>
    </row>
    <row r="371">
      <c r="A371" s="15" t="inlineStr">
        <is>
          <t>supply_uncontrolled</t>
        </is>
      </c>
      <c r="B371" s="15" t="inlineStr">
        <is>
          <t>strong_demand/wide_supply/mild_reverse/low_noise</t>
        </is>
      </c>
      <c r="C371" s="12" t="n">
        <v>20</v>
      </c>
      <c r="D371" s="19" t="n">
        <v>0.004546232805</v>
      </c>
      <c r="E371" s="24" t="n">
        <v>0.005511460604</v>
      </c>
      <c r="F371" s="16" t="n">
        <v>0.7</v>
      </c>
      <c r="G371" s="16" t="n"/>
    </row>
    <row r="372">
      <c r="A372" s="15" t="inlineStr">
        <is>
          <t>supply_uncontrolled</t>
        </is>
      </c>
      <c r="B372" s="15" t="inlineStr">
        <is>
          <t>strong_demand/wide_supply/none_reverse/high_noise</t>
        </is>
      </c>
      <c r="C372" s="12" t="n">
        <v>20</v>
      </c>
      <c r="D372" s="19" t="n">
        <v>0.007235081591</v>
      </c>
      <c r="E372" s="24" t="n">
        <v>0.009100458715999999</v>
      </c>
      <c r="F372" s="16" t="n">
        <v>0.7</v>
      </c>
      <c r="G372" s="16" t="n"/>
    </row>
    <row r="373">
      <c r="A373" s="15" t="inlineStr">
        <is>
          <t>supply_uncontrolled</t>
        </is>
      </c>
      <c r="B373" s="15" t="inlineStr">
        <is>
          <t>strong_demand/wide_supply/none_reverse/low_noise</t>
        </is>
      </c>
      <c r="C373" s="12" t="n">
        <v>20</v>
      </c>
      <c r="D373" s="19" t="n">
        <v>0.004155845426</v>
      </c>
      <c r="E373" s="24" t="n">
        <v>0.005000611308</v>
      </c>
      <c r="F373" s="16" t="n">
        <v>0.6</v>
      </c>
      <c r="G373" s="16" t="n"/>
    </row>
    <row r="374">
      <c r="A374" s="15" t="inlineStr">
        <is>
          <t>supply_uncontrolled</t>
        </is>
      </c>
      <c r="B374" s="15" t="inlineStr">
        <is>
          <t>strong_demand/wide_supply/strong_reverse/high_noise</t>
        </is>
      </c>
      <c r="C374" s="12" t="n">
        <v>20</v>
      </c>
      <c r="D374" s="19" t="n">
        <v>0.01424943609</v>
      </c>
      <c r="E374" s="24" t="n">
        <v>0.0152821279</v>
      </c>
      <c r="F374" s="16" t="n">
        <v>0.4</v>
      </c>
      <c r="G374" s="16" t="n"/>
    </row>
    <row r="375">
      <c r="A375" s="15" t="inlineStr">
        <is>
          <t>supply_uncontrolled</t>
        </is>
      </c>
      <c r="B375" s="15" t="inlineStr">
        <is>
          <t>strong_demand/wide_supply/strong_reverse/low_noise</t>
        </is>
      </c>
      <c r="C375" s="12" t="n">
        <v>20</v>
      </c>
      <c r="D375" s="19" t="n">
        <v>0.007192392492</v>
      </c>
      <c r="E375" s="24" t="n">
        <v>0.008035046109999999</v>
      </c>
      <c r="F375" s="16" t="n">
        <v>0.45</v>
      </c>
      <c r="G375" s="16" t="n"/>
    </row>
    <row r="376">
      <c r="A376" s="15" t="inlineStr">
        <is>
          <t>supply_uncontrolled</t>
        </is>
      </c>
      <c r="B376" s="15" t="inlineStr">
        <is>
          <t>weak_demand/narrow_supply/mild_reverse/high_noise</t>
        </is>
      </c>
      <c r="C376" s="12" t="n">
        <v>20</v>
      </c>
      <c r="D376" s="19" t="n">
        <v>0.005567736855</v>
      </c>
      <c r="E376" s="24" t="n">
        <v>0.00704707602</v>
      </c>
      <c r="F376" s="16" t="n">
        <v>0.8</v>
      </c>
      <c r="G376" s="16" t="n"/>
    </row>
    <row r="377">
      <c r="A377" s="15" t="inlineStr">
        <is>
          <t>supply_uncontrolled</t>
        </is>
      </c>
      <c r="B377" s="15" t="inlineStr">
        <is>
          <t>weak_demand/narrow_supply/mild_reverse/low_noise</t>
        </is>
      </c>
      <c r="C377" s="12" t="n">
        <v>20</v>
      </c>
      <c r="D377" s="19" t="n">
        <v>0.001774853661</v>
      </c>
      <c r="E377" s="24" t="n">
        <v>0.002157037479</v>
      </c>
      <c r="F377" s="16" t="n">
        <v>0.9</v>
      </c>
      <c r="G377" s="16" t="n"/>
    </row>
    <row r="378">
      <c r="A378" s="15" t="inlineStr">
        <is>
          <t>supply_uncontrolled</t>
        </is>
      </c>
      <c r="B378" s="15" t="inlineStr">
        <is>
          <t>weak_demand/narrow_supply/none_reverse/high_noise</t>
        </is>
      </c>
      <c r="C378" s="12" t="n">
        <v>20</v>
      </c>
      <c r="D378" s="19" t="n">
        <v>0.002994093178</v>
      </c>
      <c r="E378" s="24" t="n">
        <v>0.004849310448</v>
      </c>
      <c r="F378" s="16" t="n">
        <v>0.9</v>
      </c>
      <c r="G378" s="16" t="n"/>
    </row>
    <row r="379">
      <c r="A379" s="15" t="inlineStr">
        <is>
          <t>supply_uncontrolled</t>
        </is>
      </c>
      <c r="B379" s="15" t="inlineStr">
        <is>
          <t>weak_demand/narrow_supply/none_reverse/low_noise</t>
        </is>
      </c>
      <c r="C379" s="12" t="n">
        <v>20</v>
      </c>
      <c r="D379" s="19" t="n">
        <v>0.001416728788</v>
      </c>
      <c r="E379" s="24" t="n">
        <v>0.001863151012</v>
      </c>
      <c r="F379" s="16" t="n">
        <v>0.9</v>
      </c>
      <c r="G379" s="16" t="n"/>
    </row>
    <row r="380">
      <c r="A380" s="15" t="inlineStr">
        <is>
          <t>supply_uncontrolled</t>
        </is>
      </c>
      <c r="B380" s="15" t="inlineStr">
        <is>
          <t>weak_demand/narrow_supply/strong_reverse/high_noise</t>
        </is>
      </c>
      <c r="C380" s="12" t="n">
        <v>20</v>
      </c>
      <c r="D380" s="19" t="n">
        <v>0.008971407533000001</v>
      </c>
      <c r="E380" s="24" t="n">
        <v>0.01036398743</v>
      </c>
      <c r="F380" s="16" t="n">
        <v>0.6</v>
      </c>
      <c r="G380" s="16" t="n"/>
    </row>
    <row r="381">
      <c r="A381" s="15" t="inlineStr">
        <is>
          <t>supply_uncontrolled</t>
        </is>
      </c>
      <c r="B381" s="15" t="inlineStr">
        <is>
          <t>weak_demand/narrow_supply/strong_reverse/low_noise</t>
        </is>
      </c>
      <c r="C381" s="12" t="n">
        <v>20</v>
      </c>
      <c r="D381" s="19" t="n">
        <v>0.002416444096</v>
      </c>
      <c r="E381" s="24" t="n">
        <v>0.002786017031</v>
      </c>
      <c r="F381" s="16" t="n">
        <v>0.85</v>
      </c>
      <c r="G381" s="16" t="n"/>
    </row>
    <row r="382">
      <c r="A382" s="15" t="inlineStr">
        <is>
          <t>supply_uncontrolled</t>
        </is>
      </c>
      <c r="B382" s="15" t="inlineStr">
        <is>
          <t>weak_demand/wide_supply/mild_reverse/high_noise</t>
        </is>
      </c>
      <c r="C382" s="12" t="n">
        <v>20</v>
      </c>
      <c r="D382" s="19" t="n">
        <v>0.005616252578</v>
      </c>
      <c r="E382" s="24" t="n">
        <v>0.007155026561</v>
      </c>
      <c r="F382" s="16" t="n">
        <v>0.8</v>
      </c>
      <c r="G382" s="16" t="n"/>
    </row>
    <row r="383">
      <c r="A383" s="15" t="inlineStr">
        <is>
          <t>supply_uncontrolled</t>
        </is>
      </c>
      <c r="B383" s="15" t="inlineStr">
        <is>
          <t>weak_demand/wide_supply/mild_reverse/low_noise</t>
        </is>
      </c>
      <c r="C383" s="12" t="n">
        <v>20</v>
      </c>
      <c r="D383" s="19" t="n">
        <v>0.001856976016</v>
      </c>
      <c r="E383" s="24" t="n">
        <v>0.002165395323</v>
      </c>
      <c r="F383" s="16" t="n">
        <v>0.9</v>
      </c>
      <c r="G383" s="16" t="n"/>
    </row>
    <row r="384">
      <c r="A384" s="15" t="inlineStr">
        <is>
          <t>supply_uncontrolled</t>
        </is>
      </c>
      <c r="B384" s="15" t="inlineStr">
        <is>
          <t>weak_demand/wide_supply/none_reverse/high_noise</t>
        </is>
      </c>
      <c r="C384" s="12" t="n">
        <v>20</v>
      </c>
      <c r="D384" s="19" t="n">
        <v>0.003227602967</v>
      </c>
      <c r="E384" s="24" t="n">
        <v>0.005076264662</v>
      </c>
      <c r="F384" s="16" t="n">
        <v>0.9</v>
      </c>
      <c r="G384" s="16" t="n"/>
    </row>
    <row r="385">
      <c r="A385" s="15" t="inlineStr">
        <is>
          <t>supply_uncontrolled</t>
        </is>
      </c>
      <c r="B385" s="15" t="inlineStr">
        <is>
          <t>weak_demand/wide_supply/none_reverse/low_noise</t>
        </is>
      </c>
      <c r="C385" s="12" t="n">
        <v>20</v>
      </c>
      <c r="D385" s="19" t="n">
        <v>0.001529132785</v>
      </c>
      <c r="E385" s="24" t="n">
        <v>0.001908725306</v>
      </c>
      <c r="F385" s="16" t="n">
        <v>0.9</v>
      </c>
      <c r="G385" s="16" t="n"/>
    </row>
    <row r="386">
      <c r="A386" s="15" t="inlineStr">
        <is>
          <t>supply_uncontrolled</t>
        </is>
      </c>
      <c r="B386" s="15" t="inlineStr">
        <is>
          <t>weak_demand/wide_supply/strong_reverse/high_noise</t>
        </is>
      </c>
      <c r="C386" s="12" t="n">
        <v>20</v>
      </c>
      <c r="D386" s="19" t="n">
        <v>0.008556480954000001</v>
      </c>
      <c r="E386" s="24" t="n">
        <v>0.009941695741</v>
      </c>
      <c r="F386" s="16" t="n">
        <v>0.6</v>
      </c>
      <c r="G386" s="16" t="n"/>
    </row>
    <row r="387">
      <c r="A387" s="15" t="inlineStr">
        <is>
          <t>supply_uncontrolled</t>
        </is>
      </c>
      <c r="B387" s="15" t="inlineStr">
        <is>
          <t>weak_demand/wide_supply/strong_reverse/low_noise</t>
        </is>
      </c>
      <c r="C387" s="12" t="n">
        <v>20</v>
      </c>
      <c r="D387" s="19" t="n">
        <v>0.002581326182</v>
      </c>
      <c r="E387" s="24" t="n">
        <v>0.00282697239</v>
      </c>
      <c r="F387" s="16" t="n">
        <v>0.75</v>
      </c>
      <c r="G387" s="16" t="n"/>
    </row>
    <row r="388">
      <c r="A388" s="15" t="inlineStr">
        <is>
          <t>under_35_shift</t>
        </is>
      </c>
      <c r="B388" s="15" t="inlineStr">
        <is>
          <t>strong_demand/narrow_supply/mild_reverse/high_noise</t>
        </is>
      </c>
      <c r="C388" s="12" t="n">
        <v>20</v>
      </c>
      <c r="D388" s="19" t="n">
        <v>-0.0004901835583</v>
      </c>
      <c r="E388" s="24" t="n">
        <v>0.002093857077</v>
      </c>
      <c r="F388" s="16" t="n">
        <v>0.8</v>
      </c>
      <c r="G388" s="16" t="n"/>
    </row>
    <row r="389">
      <c r="A389" s="15" t="inlineStr">
        <is>
          <t>under_35_shift</t>
        </is>
      </c>
      <c r="B389" s="15" t="inlineStr">
        <is>
          <t>strong_demand/narrow_supply/mild_reverse/low_noise</t>
        </is>
      </c>
      <c r="C389" s="12" t="n">
        <v>20</v>
      </c>
      <c r="D389" s="19" t="n">
        <v>-0.0006990159848</v>
      </c>
      <c r="E389" s="24" t="n">
        <v>0.00183237702</v>
      </c>
      <c r="F389" s="16" t="n">
        <v>0.8</v>
      </c>
      <c r="G389" s="16" t="n"/>
    </row>
    <row r="390">
      <c r="A390" s="15" t="inlineStr">
        <is>
          <t>under_35_shift</t>
        </is>
      </c>
      <c r="B390" s="15" t="inlineStr">
        <is>
          <t>strong_demand/narrow_supply/none_reverse/high_noise</t>
        </is>
      </c>
      <c r="C390" s="12" t="n">
        <v>20</v>
      </c>
      <c r="D390" s="19" t="n">
        <v>-0.001046412949</v>
      </c>
      <c r="E390" s="24" t="n">
        <v>0.001990742414</v>
      </c>
      <c r="F390" s="16" t="n">
        <v>0.85</v>
      </c>
      <c r="G390" s="16" t="n"/>
    </row>
    <row r="391">
      <c r="A391" s="15" t="inlineStr">
        <is>
          <t>under_35_shift</t>
        </is>
      </c>
      <c r="B391" s="15" t="inlineStr">
        <is>
          <t>strong_demand/narrow_supply/none_reverse/low_noise</t>
        </is>
      </c>
      <c r="C391" s="12" t="n">
        <v>20</v>
      </c>
      <c r="D391" s="19" t="n">
        <v>-0.001046412949</v>
      </c>
      <c r="E391" s="24" t="n">
        <v>0.001990742414</v>
      </c>
      <c r="F391" s="16" t="n">
        <v>0.85</v>
      </c>
      <c r="G391" s="16" t="n"/>
    </row>
    <row r="392">
      <c r="A392" s="15" t="inlineStr">
        <is>
          <t>under_35_shift</t>
        </is>
      </c>
      <c r="B392" s="15" t="inlineStr">
        <is>
          <t>strong_demand/narrow_supply/strong_reverse/high_noise</t>
        </is>
      </c>
      <c r="C392" s="12" t="n">
        <v>20</v>
      </c>
      <c r="D392" s="19" t="n">
        <v>0.000420789386</v>
      </c>
      <c r="E392" s="24" t="n">
        <v>0.001581870322</v>
      </c>
      <c r="F392" s="16" t="n">
        <v>0.9</v>
      </c>
      <c r="G392" s="16" t="n"/>
    </row>
    <row r="393">
      <c r="A393" s="15" t="inlineStr">
        <is>
          <t>under_35_shift</t>
        </is>
      </c>
      <c r="B393" s="15" t="inlineStr">
        <is>
          <t>strong_demand/narrow_supply/strong_reverse/low_noise</t>
        </is>
      </c>
      <c r="C393" s="12" t="n">
        <v>20</v>
      </c>
      <c r="D393" s="19" t="n">
        <v>0.0005474776739</v>
      </c>
      <c r="E393" s="24" t="n">
        <v>0.002217045654</v>
      </c>
      <c r="F393" s="16" t="n">
        <v>0.8</v>
      </c>
      <c r="G393" s="16" t="n"/>
    </row>
    <row r="394">
      <c r="A394" s="15" t="inlineStr">
        <is>
          <t>under_35_shift</t>
        </is>
      </c>
      <c r="B394" s="15" t="inlineStr">
        <is>
          <t>strong_demand/wide_supply/mild_reverse/high_noise</t>
        </is>
      </c>
      <c r="C394" s="12" t="n">
        <v>20</v>
      </c>
      <c r="D394" s="19" t="n">
        <v>-0.001187885004</v>
      </c>
      <c r="E394" s="24" t="n">
        <v>0.002430820923</v>
      </c>
      <c r="F394" s="16" t="n">
        <v>0.6</v>
      </c>
      <c r="G394" s="16" t="n"/>
    </row>
    <row r="395">
      <c r="A395" s="15" t="inlineStr">
        <is>
          <t>under_35_shift</t>
        </is>
      </c>
      <c r="B395" s="15" t="inlineStr">
        <is>
          <t>strong_demand/wide_supply/mild_reverse/low_noise</t>
        </is>
      </c>
      <c r="C395" s="12" t="n">
        <v>20</v>
      </c>
      <c r="D395" s="19" t="n">
        <v>-0.0005890509547999999</v>
      </c>
      <c r="E395" s="24" t="n">
        <v>0.002148477014</v>
      </c>
      <c r="F395" s="16" t="n">
        <v>0.8</v>
      </c>
      <c r="G395" s="16" t="n"/>
    </row>
    <row r="396">
      <c r="A396" s="15" t="inlineStr">
        <is>
          <t>under_35_shift</t>
        </is>
      </c>
      <c r="B396" s="15" t="inlineStr">
        <is>
          <t>strong_demand/wide_supply/none_reverse/high_noise</t>
        </is>
      </c>
      <c r="C396" s="12" t="n">
        <v>20</v>
      </c>
      <c r="D396" s="19" t="n">
        <v>-0.001046412949</v>
      </c>
      <c r="E396" s="24" t="n">
        <v>0.001990742414</v>
      </c>
      <c r="F396" s="16" t="n">
        <v>0.85</v>
      </c>
      <c r="G396" s="16" t="n"/>
    </row>
    <row r="397">
      <c r="A397" s="15" t="inlineStr">
        <is>
          <t>under_35_shift</t>
        </is>
      </c>
      <c r="B397" s="15" t="inlineStr">
        <is>
          <t>strong_demand/wide_supply/none_reverse/low_noise</t>
        </is>
      </c>
      <c r="C397" s="12" t="n">
        <v>20</v>
      </c>
      <c r="D397" s="19" t="n">
        <v>-0.001046412949</v>
      </c>
      <c r="E397" s="24" t="n">
        <v>0.001990742414</v>
      </c>
      <c r="F397" s="16" t="n">
        <v>0.85</v>
      </c>
      <c r="G397" s="16" t="n"/>
    </row>
    <row r="398">
      <c r="A398" s="15" t="inlineStr">
        <is>
          <t>under_35_shift</t>
        </is>
      </c>
      <c r="B398" s="15" t="inlineStr">
        <is>
          <t>strong_demand/wide_supply/strong_reverse/high_noise</t>
        </is>
      </c>
      <c r="C398" s="12" t="n">
        <v>20</v>
      </c>
      <c r="D398" s="19" t="n">
        <v>0.0002063636895</v>
      </c>
      <c r="E398" s="24" t="n">
        <v>0.001355332335</v>
      </c>
      <c r="F398" s="16" t="n">
        <v>0.95</v>
      </c>
      <c r="G398" s="16" t="n"/>
    </row>
    <row r="399">
      <c r="A399" s="15" t="inlineStr">
        <is>
          <t>under_35_shift</t>
        </is>
      </c>
      <c r="B399" s="15" t="inlineStr">
        <is>
          <t>strong_demand/wide_supply/strong_reverse/low_noise</t>
        </is>
      </c>
      <c r="C399" s="12" t="n">
        <v>20</v>
      </c>
      <c r="D399" s="19" t="n">
        <v>0.0003047438798</v>
      </c>
      <c r="E399" s="24" t="n">
        <v>0.001689516963</v>
      </c>
      <c r="F399" s="16" t="n">
        <v>1</v>
      </c>
      <c r="G399" s="16" t="n"/>
    </row>
    <row r="400">
      <c r="A400" s="15" t="inlineStr">
        <is>
          <t>under_35_shift</t>
        </is>
      </c>
      <c r="B400" s="15" t="inlineStr">
        <is>
          <t>weak_demand/narrow_supply/mild_reverse/high_noise</t>
        </is>
      </c>
      <c r="C400" s="12" t="n">
        <v>20</v>
      </c>
      <c r="D400" s="19" t="n">
        <v>0.0002312341123</v>
      </c>
      <c r="E400" s="24" t="n">
        <v>0.001298467152</v>
      </c>
      <c r="F400" s="16" t="n">
        <v>0.9</v>
      </c>
      <c r="G400" s="16" t="n"/>
    </row>
    <row r="401">
      <c r="A401" s="15" t="inlineStr">
        <is>
          <t>under_35_shift</t>
        </is>
      </c>
      <c r="B401" s="15" t="inlineStr">
        <is>
          <t>weak_demand/narrow_supply/mild_reverse/low_noise</t>
        </is>
      </c>
      <c r="C401" s="12" t="n">
        <v>20</v>
      </c>
      <c r="D401" s="19" t="n">
        <v>0.0005607385968</v>
      </c>
      <c r="E401" s="24" t="n">
        <v>0.002022157374</v>
      </c>
      <c r="F401" s="16" t="n">
        <v>0.7</v>
      </c>
      <c r="G401" s="16" t="n"/>
    </row>
    <row r="402">
      <c r="A402" s="15" t="inlineStr">
        <is>
          <t>under_35_shift</t>
        </is>
      </c>
      <c r="B402" s="15" t="inlineStr">
        <is>
          <t>weak_demand/narrow_supply/none_reverse/high_noise</t>
        </is>
      </c>
      <c r="C402" s="12" t="n">
        <v>20</v>
      </c>
      <c r="D402" s="19" t="n">
        <v>0.0002900749832</v>
      </c>
      <c r="E402" s="24" t="n">
        <v>0.001592888464</v>
      </c>
      <c r="F402" s="16" t="n">
        <v>0.85</v>
      </c>
      <c r="G402" s="16" t="n"/>
    </row>
    <row r="403">
      <c r="A403" s="15" t="inlineStr">
        <is>
          <t>under_35_shift</t>
        </is>
      </c>
      <c r="B403" s="15" t="inlineStr">
        <is>
          <t>weak_demand/narrow_supply/none_reverse/low_noise</t>
        </is>
      </c>
      <c r="C403" s="12" t="n">
        <v>20</v>
      </c>
      <c r="D403" s="19" t="n">
        <v>0.0002900749832</v>
      </c>
      <c r="E403" s="24" t="n">
        <v>0.001592888464</v>
      </c>
      <c r="F403" s="16" t="n">
        <v>0.85</v>
      </c>
      <c r="G403" s="16" t="n"/>
    </row>
    <row r="404">
      <c r="A404" s="15" t="inlineStr">
        <is>
          <t>under_35_shift</t>
        </is>
      </c>
      <c r="B404" s="15" t="inlineStr">
        <is>
          <t>weak_demand/narrow_supply/strong_reverse/high_noise</t>
        </is>
      </c>
      <c r="C404" s="12" t="n">
        <v>20</v>
      </c>
      <c r="D404" s="19" t="n">
        <v>0.0003634445732</v>
      </c>
      <c r="E404" s="24" t="n">
        <v>0.001317636546</v>
      </c>
      <c r="F404" s="16" t="n">
        <v>1</v>
      </c>
      <c r="G404" s="16" t="n"/>
    </row>
    <row r="405">
      <c r="A405" s="15" t="inlineStr">
        <is>
          <t>under_35_shift</t>
        </is>
      </c>
      <c r="B405" s="15" t="inlineStr">
        <is>
          <t>weak_demand/narrow_supply/strong_reverse/low_noise</t>
        </is>
      </c>
      <c r="C405" s="12" t="n">
        <v>20</v>
      </c>
      <c r="D405" s="19" t="n">
        <v>-0.0002207977539</v>
      </c>
      <c r="E405" s="24" t="n">
        <v>0.001581056122</v>
      </c>
      <c r="F405" s="16" t="n">
        <v>0.9</v>
      </c>
      <c r="G405" s="16" t="n"/>
    </row>
    <row r="406">
      <c r="A406" s="15" t="inlineStr">
        <is>
          <t>under_35_shift</t>
        </is>
      </c>
      <c r="B406" s="15" t="inlineStr">
        <is>
          <t>weak_demand/wide_supply/mild_reverse/high_noise</t>
        </is>
      </c>
      <c r="C406" s="12" t="n">
        <v>20</v>
      </c>
      <c r="D406" s="19" t="n">
        <v>-0.0002438776998</v>
      </c>
      <c r="E406" s="24" t="n">
        <v>0.00150053828</v>
      </c>
      <c r="F406" s="16" t="n">
        <v>0.9</v>
      </c>
      <c r="G406" s="16" t="n"/>
    </row>
    <row r="407">
      <c r="A407" s="15" t="inlineStr">
        <is>
          <t>under_35_shift</t>
        </is>
      </c>
      <c r="B407" s="15" t="inlineStr">
        <is>
          <t>weak_demand/wide_supply/mild_reverse/low_noise</t>
        </is>
      </c>
      <c r="C407" s="12" t="n">
        <v>20</v>
      </c>
      <c r="D407" s="19" t="n">
        <v>0.0002560779589</v>
      </c>
      <c r="E407" s="24" t="n">
        <v>0.001640936275</v>
      </c>
      <c r="F407" s="16" t="n">
        <v>0.8</v>
      </c>
      <c r="G407" s="16" t="n"/>
    </row>
    <row r="408">
      <c r="A408" s="15" t="inlineStr">
        <is>
          <t>under_35_shift</t>
        </is>
      </c>
      <c r="B408" s="15" t="inlineStr">
        <is>
          <t>weak_demand/wide_supply/none_reverse/high_noise</t>
        </is>
      </c>
      <c r="C408" s="12" t="n">
        <v>20</v>
      </c>
      <c r="D408" s="19" t="n">
        <v>0.0002900749832</v>
      </c>
      <c r="E408" s="24" t="n">
        <v>0.001592888464</v>
      </c>
      <c r="F408" s="16" t="n">
        <v>0.85</v>
      </c>
      <c r="G408" s="16" t="n"/>
    </row>
    <row r="409">
      <c r="A409" s="15" t="inlineStr">
        <is>
          <t>under_35_shift</t>
        </is>
      </c>
      <c r="B409" s="15" t="inlineStr">
        <is>
          <t>weak_demand/wide_supply/none_reverse/low_noise</t>
        </is>
      </c>
      <c r="C409" s="12" t="n">
        <v>20</v>
      </c>
      <c r="D409" s="19" t="n">
        <v>0.0002900749832</v>
      </c>
      <c r="E409" s="24" t="n">
        <v>0.001592888464</v>
      </c>
      <c r="F409" s="16" t="n">
        <v>0.85</v>
      </c>
      <c r="G409" s="16" t="n"/>
    </row>
    <row r="410">
      <c r="A410" s="15" t="inlineStr">
        <is>
          <t>under_35_shift</t>
        </is>
      </c>
      <c r="B410" s="15" t="inlineStr">
        <is>
          <t>weak_demand/wide_supply/strong_reverse/high_noise</t>
        </is>
      </c>
      <c r="C410" s="12" t="n">
        <v>20</v>
      </c>
      <c r="D410" s="19" t="n">
        <v>8.945430026e-05</v>
      </c>
      <c r="E410" s="24" t="n">
        <v>0.001783447354</v>
      </c>
      <c r="F410" s="16" t="n">
        <v>0.9</v>
      </c>
      <c r="G410" s="16" t="n"/>
    </row>
    <row r="411">
      <c r="A411" s="15" t="inlineStr">
        <is>
          <t>under_35_shift</t>
        </is>
      </c>
      <c r="B411" s="15" t="inlineStr">
        <is>
          <t>weak_demand/wide_supply/strong_reverse/low_noise</t>
        </is>
      </c>
      <c r="C411" s="12" t="n">
        <v>20</v>
      </c>
      <c r="D411" s="19" t="n">
        <v>-0.0004779616849</v>
      </c>
      <c r="E411" s="24" t="n">
        <v>0.001780982413</v>
      </c>
      <c r="F411" s="16" t="n">
        <v>0.95</v>
      </c>
      <c r="G411" s="16"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c r="A1" s="1" t="inlineStr">
        <is>
          <t>metrics.definitions: Source: several sources, every metro and year in the window, through the metric layer, as of 2026-10-23.</t>
        </is>
      </c>
    </row>
    <row r="3">
      <c r="A3" s="9" t="inlineStr">
        <is>
          <t>Metric</t>
        </is>
      </c>
      <c r="B3" s="9" t="inlineStr">
        <is>
          <t>Over the grain</t>
        </is>
      </c>
      <c r="C3" s="9" t="inlineStr">
        <is>
          <t>Over the mart</t>
        </is>
      </c>
    </row>
    <row r="4">
      <c r="A4" s="15" t="inlineStr">
        <is>
          <t>households</t>
        </is>
      </c>
      <c r="B4" s="15" t="inlineStr">
        <is>
          <t>sum(estimate) filter (where variable = 'B11001_001')</t>
        </is>
      </c>
      <c r="C4" s="15" t="inlineStr">
        <is>
          <t>sum(households)</t>
        </is>
      </c>
    </row>
    <row r="5">
      <c r="A5" s="15" t="inlineStr">
        <is>
          <t>owner households</t>
        </is>
      </c>
      <c r="B5" s="15" t="inlineStr">
        <is>
          <t>sum(estimate) filter (where variable = 'B25003_002')</t>
        </is>
      </c>
      <c r="C5" s="15" t="inlineStr">
        <is>
          <t>sum(owner_households)</t>
        </is>
      </c>
    </row>
    <row r="6">
      <c r="A6" s="15" t="inlineStr">
        <is>
          <t>renter households</t>
        </is>
      </c>
      <c r="B6" s="15" t="inlineStr">
        <is>
          <t>sum(estimate) filter (where variable = 'B25003_003')</t>
        </is>
      </c>
      <c r="C6" s="15" t="inlineStr">
        <is>
          <t>sum(renter_households)</t>
        </is>
      </c>
    </row>
    <row r="7">
      <c r="A7" s="15" t="inlineStr">
        <is>
          <t>renters burdened</t>
        </is>
      </c>
      <c r="B7" s="15" t="inlineStr">
        <is>
          <t>sum(estimate) filter (where variable in ('B25070_007', 'B25070_008', 'B25070_009', 'B25070_010'))</t>
        </is>
      </c>
      <c r="C7" s="15" t="inlineStr">
        <is>
          <t>sum(renters_burdened)</t>
        </is>
      </c>
    </row>
    <row r="8">
      <c r="A8" s="15" t="inlineStr">
        <is>
          <t>renters severe</t>
        </is>
      </c>
      <c r="B8" s="15" t="inlineStr">
        <is>
          <t>sum(estimate) filter (where variable = 'B25070_010')</t>
        </is>
      </c>
      <c r="C8" s="15" t="inlineStr">
        <is>
          <t>sum(renters_severe)</t>
        </is>
      </c>
    </row>
    <row r="9">
      <c r="A9" s="15" t="inlineStr">
        <is>
          <t>renter burdened share</t>
        </is>
      </c>
      <c r="B9" s="15" t="inlineStr">
        <is>
          <t>sum(estimate) filter (where variable in ('B25070_007', 'B25070_008', 'B25070_009', 'B25070_010')) / (sum(estimate) filter (where variable = 'B25070_001') - coalesce(sum(estimate) filter (where variable = 'B25070_011'), 0))</t>
        </is>
      </c>
      <c r="C9" s="15" t="inlineStr">
        <is>
          <t>sum(renters_burdened) / sum(renters_with_share)</t>
        </is>
      </c>
    </row>
    <row r="10">
      <c r="A10" s="15" t="inlineStr">
        <is>
          <t>housing units</t>
        </is>
      </c>
      <c r="B10" s="15" t="inlineStr">
        <is>
          <t>sum(estimate) filter (where variable = 'B25001_001')</t>
        </is>
      </c>
      <c r="C10" s="15" t="inlineStr">
        <is>
          <t>sum(housing_units)</t>
        </is>
      </c>
    </row>
    <row r="11">
      <c r="A11" s="15" t="inlineStr">
        <is>
          <t>permits</t>
        </is>
      </c>
      <c r="B11" s="15" t="inlineStr">
        <is>
          <t>sum(permits)</t>
        </is>
      </c>
      <c r="C11" s="15" t="inlineStr">
        <is>
          <t>sum(permits)</t>
        </is>
      </c>
    </row>
    <row r="12">
      <c r="A12" s="15" t="inlineStr">
        <is>
          <t>population</t>
        </is>
      </c>
      <c r="B12" s="15" t="inlineStr">
        <is>
          <t>sum(population)</t>
        </is>
      </c>
      <c r="C12" s="15" t="inlineStr">
        <is>
          <t>sum(population)</t>
        </is>
      </c>
    </row>
    <row r="13">
      <c r="A13" s="15" t="inlineStr">
        <is>
          <t>domestic migration</t>
        </is>
      </c>
      <c r="B13" s="15" t="inlineStr">
        <is>
          <t>sum(domestic_migration)</t>
        </is>
      </c>
      <c r="C13" s="15" t="inlineStr">
        <is>
          <t>sum(domestic_migration)</t>
        </is>
      </c>
    </row>
    <row r="14">
      <c r="A14" s="15" t="inlineStr">
        <is>
          <t>purchase loans</t>
        </is>
      </c>
      <c r="B14" s="15" t="inlineStr">
        <is>
          <t>count(*) filter (where loan_purpose = 1)</t>
        </is>
      </c>
      <c r="C14" s="15" t="inlineStr">
        <is>
          <t>sum(purchase_loans)</t>
        </is>
      </c>
    </row>
    <row r="15">
      <c r="A15" s="15" t="inlineStr">
        <is>
          <t>refinance loans</t>
        </is>
      </c>
      <c r="B15" s="15" t="inlineStr">
        <is>
          <t>count(*) filter (where loan_purpose in (31, 32))</t>
        </is>
      </c>
      <c r="C15" s="15" t="inlineStr">
        <is>
          <t>sum(refinance_loans)</t>
        </is>
      </c>
    </row>
    <row r="16">
      <c r="A16" s="15" t="inlineStr">
        <is>
          <t>low rate originations</t>
        </is>
      </c>
      <c r="B16" s="15" t="inlineStr">
        <is>
          <t>count(*) filter (where interest_rate &lt; 4.0 and not q_rate_missing and not q_term_not_30_years)</t>
        </is>
      </c>
      <c r="C16" s="15" t="inlineStr">
        <is>
          <t>sum(low_rate_originations)</t>
        </is>
      </c>
    </row>
    <row r="17">
      <c r="A17" s="15" t="inlineStr">
        <is>
          <t>turnover per 100 owners</t>
        </is>
      </c>
      <c r="B17" s="15" t="inlineStr">
        <is>
          <t>100.0 * sum(purchase_loans) / sum(owner_households)</t>
        </is>
      </c>
      <c r="C17" s="15" t="inlineStr">
        <is>
          <t>100.0 * sum(purchase_loans) / sum(owner_households)</t>
        </is>
      </c>
    </row>
    <row r="18">
      <c r="A18" s="15" t="inlineStr">
        <is>
          <t>lock in per 100 owners</t>
        </is>
      </c>
      <c r="B18" s="15" t="inlineStr">
        <is>
          <t>100.0 * sum(low_rate_originations) / sum(owner_households)</t>
        </is>
      </c>
      <c r="C18" s="15" t="inlineStr">
        <is>
          <t>100.0 * sum(low_rate_originations) / sum(owner_households)</t>
        </is>
      </c>
    </row>
    <row r="19">
      <c r="A19" s="15" t="inlineStr">
        <is>
          <t>permits per 100 households</t>
        </is>
      </c>
      <c r="B19" s="15" t="inlineStr">
        <is>
          <t>100.0 * sum(permits) / sum(households)</t>
        </is>
      </c>
      <c r="C19" s="15" t="inlineStr">
        <is>
          <t>100.0 * sum(permits) / sum(households)</t>
        </is>
      </c>
    </row>
    <row r="20">
      <c r="A20" s="15" t="inlineStr">
        <is>
          <t>domestic migration per 100</t>
        </is>
      </c>
      <c r="B20" s="15" t="inlineStr">
        <is>
          <t>100.0 * sum(domestic_migration) / sum(population)</t>
        </is>
      </c>
      <c r="C20" s="15" t="inlineStr">
        <is>
          <t>100.0 * sum(domestic_migration) / sum(population)</t>
        </is>
      </c>
    </row>
    <row r="21">
      <c r="A21" s="15" t="inlineStr">
        <is>
          <t>purchase under 35 share</t>
        </is>
      </c>
      <c r="B21" s="15" t="inlineStr">
        <is>
          <t>sum(purchase_under_35) / sum(purchase_with_age)</t>
        </is>
      </c>
      <c r="C21" s="15" t="inlineStr">
        <is>
          <t>sum(purchase_under_35) / sum(purchase_with_age)</t>
        </is>
      </c>
    </row>
    <row r="22">
      <c r="A22" s="15" t="inlineStr">
        <is>
          <t>owner mortgage burdened share</t>
        </is>
      </c>
      <c r="B22" s="15" t="inlineStr">
        <is>
          <t>sum(owners_mortgage_burdened) / sum(owners_mortgage_with_share)</t>
        </is>
      </c>
      <c r="C22" s="15" t="inlineStr">
        <is>
          <t>sum(owners_mortgage_burdened) / sum(owners_mortgage_with_share)</t>
        </is>
      </c>
    </row>
    <row r="23">
      <c r="A23" s="15" t="inlineStr">
        <is>
          <t>payment share ratio of sums</t>
        </is>
      </c>
      <c r="B23" s="15" t="inlineStr">
        <is>
          <t>12.0 * sum(payment) / sum(median_income)</t>
        </is>
      </c>
      <c r="C23" s="15" t="inlineStr">
        <is>
          <t>12.0 * sum(payment) / sum(median_income)</t>
        </is>
      </c>
    </row>
    <row r="24">
      <c r="A24" s="15" t="inlineStr">
        <is>
          <t>price to income ratio of sums</t>
        </is>
      </c>
      <c r="B24" s="15" t="inlineStr">
        <is>
          <t>sum(value_anchored) / sum(median_income)</t>
        </is>
      </c>
      <c r="C24" s="15" t="inlineStr">
        <is>
          <t>sum(value_anchored) / sum(median_income)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2026-10-23T06:39:10Z</dcterms:created>
  <dcterms:modified xsi:type="dcterms:W3CDTF">2026-10-23T06:39:11Z</dcterms:modified>
</cp:coreProperties>
</file>